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VBA\Modules\"/>
    </mc:Choice>
  </mc:AlternateContent>
  <bookViews>
    <workbookView xWindow="0" yWindow="1800" windowWidth="28800" windowHeight="13020"/>
  </bookViews>
  <sheets>
    <sheet name="Charts" sheetId="4" r:id="rId1"/>
    <sheet name="Factored parameters" sheetId="2" r:id="rId2"/>
    <sheet name="Assortment" sheetId="3" r:id="rId3"/>
  </sheets>
  <functionGroups builtInGroupCount="18"/>
  <definedNames>
    <definedName name="_xlnm.Print_Area" localSheetId="0">Charts!$A$1:$P$349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8" i="4" l="1"/>
  <c r="N129" i="4" s="1"/>
  <c r="N130" i="4" s="1"/>
  <c r="N131" i="4" s="1"/>
  <c r="N132" i="4" s="1"/>
  <c r="D16" i="4" l="1"/>
  <c r="B43" i="4" l="1"/>
  <c r="G40" i="4" l="1"/>
  <c r="C2" i="3" l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</calcChain>
</file>

<file path=xl/sharedStrings.xml><?xml version="1.0" encoding="utf-8"?>
<sst xmlns="http://schemas.openxmlformats.org/spreadsheetml/2006/main" count="161" uniqueCount="146">
  <si>
    <t>А240</t>
  </si>
  <si>
    <t>Rs, МПа</t>
  </si>
  <si>
    <t>Rsc, МПа</t>
  </si>
  <si>
    <t>Rsw , МПа</t>
  </si>
  <si>
    <t xml:space="preserve">Rs,ser, МПа </t>
  </si>
  <si>
    <t>Es, Мпа</t>
  </si>
  <si>
    <t xml:space="preserve">  Расчетные характеристики арматуры</t>
  </si>
  <si>
    <t>А400</t>
  </si>
  <si>
    <t>А500</t>
  </si>
  <si>
    <t>А600</t>
  </si>
  <si>
    <t>А600С</t>
  </si>
  <si>
    <t>В500</t>
  </si>
  <si>
    <t>Bp500</t>
  </si>
  <si>
    <t>Бетон</t>
  </si>
  <si>
    <t>Сжатие осевое 
(призменная прочность)</t>
  </si>
  <si>
    <t>Тяжелый и мелкозернистый и напрягающий</t>
  </si>
  <si>
    <t>Легкий</t>
  </si>
  <si>
    <t>Ячеистый</t>
  </si>
  <si>
    <t>Вид сопротивления</t>
  </si>
  <si>
    <t>В1.5</t>
  </si>
  <si>
    <t>В2</t>
  </si>
  <si>
    <t>В5</t>
  </si>
  <si>
    <t>В2.5</t>
  </si>
  <si>
    <t>В3.5</t>
  </si>
  <si>
    <t>В7.5</t>
  </si>
  <si>
    <t>В10</t>
  </si>
  <si>
    <t>В12.5</t>
  </si>
  <si>
    <t>В15</t>
  </si>
  <si>
    <t>В20</t>
  </si>
  <si>
    <t>В25</t>
  </si>
  <si>
    <t>В30</t>
  </si>
  <si>
    <t>В35</t>
  </si>
  <si>
    <t>В40</t>
  </si>
  <si>
    <t>В45</t>
  </si>
  <si>
    <t>В50</t>
  </si>
  <si>
    <t>В55</t>
  </si>
  <si>
    <t>В60</t>
  </si>
  <si>
    <t>В70</t>
  </si>
  <si>
    <t>В80</t>
  </si>
  <si>
    <t>В90</t>
  </si>
  <si>
    <t>В100</t>
  </si>
  <si>
    <t xml:space="preserve">Растяжение осевое </t>
  </si>
  <si>
    <t>Тяжелый</t>
  </si>
  <si>
    <t>Расчётные сопротивления бетона Rb и Rbt (Мпа)</t>
  </si>
  <si>
    <t>Rb</t>
  </si>
  <si>
    <t>Rbt</t>
  </si>
  <si>
    <t>D (мм)</t>
  </si>
  <si>
    <r>
      <t>As (мм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</t>
    </r>
  </si>
  <si>
    <r>
      <t>As (см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</t>
    </r>
  </si>
  <si>
    <t>Eb (Мпа/1000)</t>
  </si>
  <si>
    <t>Модуль упругости</t>
  </si>
  <si>
    <t>Расчетные характеристики стали</t>
  </si>
  <si>
    <t>Класс арматуры</t>
  </si>
  <si>
    <t>Марка стали</t>
  </si>
  <si>
    <t>Ru, МПа</t>
  </si>
  <si>
    <t>Ry, MПа</t>
  </si>
  <si>
    <t>Толщина, мм</t>
  </si>
  <si>
    <t>мин.</t>
  </si>
  <si>
    <t>макс.</t>
  </si>
  <si>
    <t>С245 t=2-20мм</t>
  </si>
  <si>
    <t>С245 t=21-30мм</t>
  </si>
  <si>
    <t>С255 t=2-20мм</t>
  </si>
  <si>
    <t>С255 t=21-40мм</t>
  </si>
  <si>
    <t>С345 t=2-20мм</t>
  </si>
  <si>
    <t>С345 t=21-40мм</t>
  </si>
  <si>
    <t>С345 t=41-80мм</t>
  </si>
  <si>
    <t>С345 t=81-100мм</t>
  </si>
  <si>
    <t>С235 t=2-8мм</t>
  </si>
  <si>
    <r>
      <rPr>
        <sz val="12"/>
        <color theme="1"/>
        <rFont val="Symbol"/>
        <family val="1"/>
        <charset val="2"/>
      </rPr>
      <t>g</t>
    </r>
    <r>
      <rPr>
        <vertAlign val="subscript"/>
        <sz val="10"/>
        <color theme="1"/>
        <rFont val="Arial"/>
        <family val="2"/>
        <charset val="204"/>
      </rPr>
      <t xml:space="preserve">b </t>
    </r>
    <r>
      <rPr>
        <sz val="10"/>
        <color theme="1"/>
        <rFont val="Arial"/>
        <family val="2"/>
        <charset val="204"/>
      </rPr>
      <t>=</t>
    </r>
  </si>
  <si>
    <t>PLATE/ ПЛИТА</t>
  </si>
  <si>
    <t>A</t>
  </si>
  <si>
    <t>В</t>
  </si>
  <si>
    <t>PQ001</t>
  </si>
  <si>
    <t>La</t>
  </si>
  <si>
    <t>t</t>
  </si>
  <si>
    <t>number of rows/ количество рядов</t>
  </si>
  <si>
    <t>number of bars in row/ количество анкеров в ряду</t>
  </si>
  <si>
    <t>Lpl</t>
  </si>
  <si>
    <t>[mm/мм]</t>
  </si>
  <si>
    <t>[mm/ мм]</t>
  </si>
  <si>
    <r>
      <t>d</t>
    </r>
    <r>
      <rPr>
        <vertAlign val="subscript"/>
        <sz val="10"/>
        <color theme="1"/>
        <rFont val="Arial"/>
        <family val="2"/>
        <charset val="204"/>
      </rPr>
      <t>an</t>
    </r>
  </si>
  <si>
    <t>Ly</t>
  </si>
  <si>
    <t>Lz</t>
  </si>
  <si>
    <t>Анкера закладной детали заделаны в:</t>
  </si>
  <si>
    <t>Условия установки закладной детали в конструкцию:</t>
  </si>
  <si>
    <t>(mm/мм)</t>
  </si>
  <si>
    <r>
      <rPr>
        <sz val="11"/>
        <color theme="1"/>
        <rFont val="Arial"/>
        <family val="2"/>
        <charset val="204"/>
      </rPr>
      <t>h</t>
    </r>
    <r>
      <rPr>
        <vertAlign val="subscript"/>
        <sz val="11"/>
        <color theme="1"/>
        <rFont val="Arial"/>
        <family val="2"/>
        <charset val="204"/>
      </rPr>
      <t>tot</t>
    </r>
  </si>
  <si>
    <r>
      <t>H</t>
    </r>
    <r>
      <rPr>
        <vertAlign val="subscript"/>
        <sz val="11"/>
        <color theme="1"/>
        <rFont val="Arial"/>
        <family val="2"/>
        <charset val="204"/>
      </rPr>
      <t>a</t>
    </r>
  </si>
  <si>
    <r>
      <rPr>
        <sz val="11"/>
        <color theme="1"/>
        <rFont val="Arial"/>
        <family val="2"/>
        <charset val="204"/>
      </rPr>
      <t>t</t>
    </r>
    <r>
      <rPr>
        <vertAlign val="subscript"/>
        <sz val="11"/>
        <color theme="1"/>
        <rFont val="Arial"/>
        <family val="2"/>
        <charset val="204"/>
      </rPr>
      <t>pl</t>
    </r>
  </si>
  <si>
    <t>Q [кН/kN]</t>
  </si>
  <si>
    <t>SHEAR /
 СРЕЗ</t>
  </si>
  <si>
    <t>BENDING /
 МОМЕНТ</t>
  </si>
  <si>
    <t>N [кН/kN]</t>
  </si>
  <si>
    <t>M [кНм/kNm]</t>
  </si>
  <si>
    <t>Kmax</t>
  </si>
  <si>
    <t>ANCHOR BARS WITH REINFORCEMENTS / АНКЕРНЫЕ СТЕРЖНИ С УСИЛЕНИЯМИ</t>
  </si>
  <si>
    <t>TENSION / РАСТЯЖЕНИЕ</t>
  </si>
  <si>
    <t>SHEAR - BENDING / СРЕЗ - МОМЕНТ</t>
  </si>
  <si>
    <t>TENSION - BENDING / РАСТЯЖЕНИЕ - МОМЕНТ</t>
  </si>
  <si>
    <t>SHEAR - TENSION / СРЕЗ-РАСТЯЖЕНИЕ
M = 3,0 [кНм/kNm]</t>
  </si>
  <si>
    <t>SHEAR - TENSION / СРЕЗ-РАСТЯЖЕНИЕ
M = 2,5 [кНм/kNm]</t>
  </si>
  <si>
    <t>SHEAR - TENSION / СРЕЗ-РАСТЯЖЕНИЕ
M = 2,0 [кНм/kNm]</t>
  </si>
  <si>
    <t>SHEAR - TENSION /
 СРЕЗ-РАСТЯЖЕНИЕ
M = 1,0 [кНм/kNm]</t>
  </si>
  <si>
    <t>SHEAR - TENSION /
 СРЕЗ-РАСТЯЖЕНИЕ
M = Mmin</t>
  </si>
  <si>
    <t>SHEAR - TENSION / СРЕЗ-РАСТЯЖЕНИЕ
M = 1,5 [кНм/kNm]</t>
  </si>
  <si>
    <t xml:space="preserve">  Расчетные нагрузки действуют в одной плоскости симметрии закладной детали, параллельной грани А.</t>
  </si>
  <si>
    <t>DESIGN CALCULATION FOR EMBEDDED PLATE PQ001 / РАСЧЕТ ЗАКЛАДНОЙ ДЕТАЛИ PQ001</t>
  </si>
  <si>
    <t>железобетонный элемент / reinforced concrete</t>
  </si>
  <si>
    <t>длительные нагрузки / long-term load</t>
  </si>
  <si>
    <t>слой бетонированния &lt;1,5м/ concreting layer &lt;1,5m</t>
  </si>
  <si>
    <t>MATERIAL CHARACTERISTICS / ХАРАКТЕРИСТИКИ МАТЕРИАЛОВ:</t>
  </si>
  <si>
    <t>TYPE OF PLATE / ТИП ПЛИТЫ</t>
  </si>
  <si>
    <t xml:space="preserve">Class of Steel for anchor bars/Класс арматуры анкера: </t>
  </si>
  <si>
    <t xml:space="preserve">Сoncrete class / Класс бетона:  </t>
  </si>
  <si>
    <t>Design characteristics of concrete / Расчетные характеристики бетона:</t>
  </si>
  <si>
    <t xml:space="preserve"> Factor for concrete / Коэффициент условий работы бетона:</t>
  </si>
  <si>
    <t xml:space="preserve"> Accept / Принимаем:</t>
  </si>
  <si>
    <t>GEOMETRY / ГЕОМЕТРИЯ:</t>
  </si>
  <si>
    <r>
      <t xml:space="preserve">  H</t>
    </r>
    <r>
      <rPr>
        <vertAlign val="subscript"/>
        <sz val="10"/>
        <color theme="1"/>
        <rFont val="Arial"/>
        <family val="2"/>
        <charset val="204"/>
      </rPr>
      <t>a</t>
    </r>
    <r>
      <rPr>
        <sz val="10"/>
        <color theme="1"/>
        <rFont val="Arial"/>
        <family val="2"/>
        <charset val="204"/>
      </rPr>
      <t xml:space="preserve"> - minimum thickness of concrete support / минимальная толщина бетонной опоры;</t>
    </r>
  </si>
  <si>
    <t xml:space="preserve">  с - concrete cover as per project specification / защитный слой бетона в соответствии с ТУ по проекту</t>
  </si>
  <si>
    <t>Design loads / Расчетные нагрузки:</t>
  </si>
  <si>
    <r>
      <t xml:space="preserve">  M</t>
    </r>
    <r>
      <rPr>
        <vertAlign val="subscript"/>
        <sz val="11"/>
        <color theme="1"/>
        <rFont val="Arial"/>
        <family val="2"/>
        <charset val="204"/>
      </rPr>
      <t>min</t>
    </r>
    <r>
      <rPr>
        <sz val="11"/>
        <color theme="1"/>
        <rFont val="Arial"/>
        <family val="2"/>
        <charset val="204"/>
      </rPr>
      <t xml:space="preserve"> = Q×e</t>
    </r>
    <r>
      <rPr>
        <vertAlign val="subscript"/>
        <sz val="11"/>
        <color theme="1"/>
        <rFont val="Arial"/>
        <family val="2"/>
        <charset val="204"/>
      </rPr>
      <t>a</t>
    </r>
    <r>
      <rPr>
        <sz val="11"/>
        <color theme="1"/>
        <rFont val="Arial"/>
        <family val="2"/>
        <charset val="204"/>
      </rPr>
      <t xml:space="preserve"> + N×e</t>
    </r>
    <r>
      <rPr>
        <vertAlign val="subscript"/>
        <sz val="11"/>
        <color theme="1"/>
        <rFont val="Arial"/>
        <family val="2"/>
        <charset val="204"/>
      </rPr>
      <t>a</t>
    </r>
  </si>
  <si>
    <r>
      <t xml:space="preserve">  Минимальный изгибающий момент M</t>
    </r>
    <r>
      <rPr>
        <vertAlign val="subscript"/>
        <sz val="10"/>
        <color theme="1"/>
        <rFont val="Arial"/>
        <family val="2"/>
        <charset val="204"/>
      </rPr>
      <t>min</t>
    </r>
    <r>
      <rPr>
        <sz val="10"/>
        <color theme="1"/>
        <rFont val="Arial"/>
        <family val="2"/>
        <charset val="204"/>
      </rPr>
      <t xml:space="preserve"> назначаем исходя из условия учета случайного эксцентриситета при воздействии растягивающей и срезающей нагрузок:</t>
    </r>
  </si>
  <si>
    <t xml:space="preserve"> D1 - Minimum free vertical distance from concrete edge / Минимальное свободное расстояние по вертикали от края бетона;</t>
  </si>
  <si>
    <t xml:space="preserve"> D2 - Minimum free horizontal distance from concrete edge / Минимальное свободное расстояние по горизонтали от края бетона.</t>
  </si>
  <si>
    <r>
      <t>По п.8.1.7 СП 63.13330.2012: e</t>
    </r>
    <r>
      <rPr>
        <vertAlign val="subscript"/>
        <sz val="10"/>
        <color theme="1"/>
        <rFont val="Arial"/>
        <family val="2"/>
        <charset val="204"/>
      </rPr>
      <t>a</t>
    </r>
    <r>
      <rPr>
        <sz val="10"/>
        <color theme="1"/>
        <rFont val="Arial"/>
        <family val="2"/>
        <charset val="204"/>
      </rPr>
      <t xml:space="preserve"> = max[A/30; 10 mm/мм] =</t>
    </r>
  </si>
  <si>
    <t>As per cl. 8.1.7 SP 63.13330.2012:</t>
  </si>
  <si>
    <t>D2(mm/мм)=</t>
  </si>
  <si>
    <t>D1(mm/мм)=</t>
  </si>
  <si>
    <t>tensile zone of concrete / растянутая зона бетона</t>
  </si>
  <si>
    <t>Conditions of embedded plate installation into structure:</t>
  </si>
  <si>
    <t xml:space="preserve">  Design loads act in one symmetry plane of embedded plate, parallel to plane А.</t>
  </si>
  <si>
    <r>
      <t xml:space="preserve">  Minimum bending moment M</t>
    </r>
    <r>
      <rPr>
        <vertAlign val="subscript"/>
        <sz val="10"/>
        <color rgb="FFFF0000"/>
        <rFont val="Arial"/>
        <family val="2"/>
        <charset val="204"/>
      </rPr>
      <t>min</t>
    </r>
    <r>
      <rPr>
        <sz val="10"/>
        <color rgb="FFFF0000"/>
        <rFont val="Arial"/>
        <family val="2"/>
        <charset val="204"/>
      </rPr>
      <t xml:space="preserve"> is set proceeding from consideration of random eccentricity under tensile and shear loads action:</t>
    </r>
  </si>
  <si>
    <t>Anchor bars of embedded plate are embedded to:</t>
  </si>
  <si>
    <t>Strength of embedded plate anchor bars/ Прочность анкеров закладной детали</t>
  </si>
  <si>
    <t>Bearing strain of concrete under reinforcing plates / Смятие бетона под пластинами усиления</t>
  </si>
  <si>
    <r>
      <t xml:space="preserve">Chipping out of concrete by anchor bars at N'an </t>
    </r>
    <r>
      <rPr>
        <u/>
        <sz val="9"/>
        <color rgb="FFFF0000"/>
        <rFont val="Arial"/>
        <family val="2"/>
        <charset val="204"/>
      </rPr>
      <t>&gt;</t>
    </r>
    <r>
      <rPr>
        <sz val="9"/>
        <color rgb="FFFF0000"/>
        <rFont val="Arial"/>
        <family val="2"/>
        <charset val="204"/>
      </rPr>
      <t>0/ Выкалывание бетона анкерами при N'an &gt;0</t>
    </r>
  </si>
  <si>
    <t>Chipping out of concrete by anchor bars at N'an &lt;0/ Выкалывание бетона анкерами при N'an &lt;0</t>
  </si>
  <si>
    <t>Spalling of concrete by anchor bars at element edge/ Откалывание бетона анкерами у края элемента</t>
  </si>
  <si>
    <t>Table 1. Maximum permissible loads on embedded plate PQ001 at D1=100mm and D2=100mm. (Static loads)</t>
  </si>
  <si>
    <t xml:space="preserve">Class of Steel for Plate / Марка стали пластины: </t>
  </si>
  <si>
    <t>M1</t>
  </si>
  <si>
    <t>M2</t>
  </si>
  <si>
    <t>M3</t>
  </si>
  <si>
    <t>M4</t>
  </si>
  <si>
    <t>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</si>
</sst>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2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rgb="FF000000"/>
      <name val="Times New Roman"/>
      <family val="1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2"/>
      <color theme="1"/>
      <name val="Symbol"/>
      <family val="1"/>
      <charset val="2"/>
    </font>
    <font>
      <vertAlign val="subscript"/>
      <sz val="11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000000"/>
      <name val="Arial"/>
      <family val="2"/>
      <charset val="204"/>
    </font>
    <font>
      <i/>
      <sz val="10"/>
      <color rgb="FFFF000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9"/>
      <color rgb="FF000000"/>
      <name val="Arial"/>
      <family val="2"/>
      <charset val="204"/>
    </font>
    <font>
      <vertAlign val="subscript"/>
      <sz val="10"/>
      <color rgb="FFFF0000"/>
      <name val="Arial"/>
      <family val="2"/>
      <charset val="204"/>
    </font>
    <font>
      <sz val="9"/>
      <color rgb="FFFF0000"/>
      <name val="Arial"/>
      <family val="2"/>
      <charset val="204"/>
    </font>
    <font>
      <u/>
      <sz val="9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0" xfId="0" applyBorder="1"/>
    <xf numFmtId="0" fontId="1" fillId="0" borderId="9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165" fontId="0" fillId="0" borderId="0" xfId="0" applyNumberFormat="1"/>
    <xf numFmtId="2" fontId="0" fillId="0" borderId="1" xfId="0" applyNumberFormat="1" applyFont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 wrapText="1"/>
    </xf>
    <xf numFmtId="164" fontId="0" fillId="0" borderId="1" xfId="0" applyNumberFormat="1" applyFont="1" applyBorder="1"/>
    <xf numFmtId="164" fontId="0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23" xfId="0" applyFont="1" applyFill="1" applyBorder="1" applyAlignment="1">
      <alignment horizontal="left"/>
    </xf>
    <xf numFmtId="0" fontId="1" fillId="0" borderId="15" xfId="0" applyFont="1" applyFill="1" applyBorder="1" applyAlignment="1">
      <alignment horizontal="left" vertical="center"/>
    </xf>
    <xf numFmtId="0" fontId="1" fillId="0" borderId="17" xfId="0" applyFont="1" applyFill="1" applyBorder="1" applyAlignment="1">
      <alignment horizontal="left" vertical="center"/>
    </xf>
    <xf numFmtId="0" fontId="1" fillId="0" borderId="16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2" fontId="2" fillId="0" borderId="1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164" fontId="2" fillId="2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9" fillId="3" borderId="30" xfId="0" applyFont="1" applyFill="1" applyBorder="1" applyAlignment="1">
      <alignment horizontal="center" vertical="center" wrapText="1"/>
    </xf>
    <xf numFmtId="0" fontId="19" fillId="3" borderId="31" xfId="0" applyFont="1" applyFill="1" applyBorder="1" applyAlignment="1">
      <alignment horizontal="center" vertical="center" wrapText="1"/>
    </xf>
    <xf numFmtId="0" fontId="20" fillId="3" borderId="31" xfId="0" applyFont="1" applyFill="1" applyBorder="1" applyAlignment="1">
      <alignment vertical="center" wrapText="1"/>
    </xf>
    <xf numFmtId="0" fontId="19" fillId="3" borderId="27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17" fillId="0" borderId="0" xfId="0" applyFont="1" applyFill="1" applyBorder="1" applyAlignment="1">
      <alignment horizontal="left"/>
    </xf>
    <xf numFmtId="0" fontId="2" fillId="0" borderId="0" xfId="0" applyFont="1" applyAlignment="1">
      <alignment horizontal="right" vertical="center"/>
    </xf>
    <xf numFmtId="0" fontId="11" fillId="0" borderId="0" xfId="0" applyFont="1"/>
    <xf numFmtId="0" fontId="3" fillId="2" borderId="1" xfId="0" applyFont="1" applyFill="1" applyBorder="1" applyAlignment="1">
      <alignment horizontal="left"/>
    </xf>
    <xf numFmtId="0" fontId="11" fillId="3" borderId="29" xfId="0" applyFont="1" applyFill="1" applyBorder="1" applyAlignment="1">
      <alignment horizontal="center" vertical="center" wrapText="1"/>
    </xf>
    <xf numFmtId="0" fontId="11" fillId="3" borderId="3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2" fillId="0" borderId="34" xfId="0" applyFont="1" applyBorder="1" applyAlignment="1">
      <alignment horizontal="center" vertical="center"/>
    </xf>
    <xf numFmtId="2" fontId="2" fillId="0" borderId="33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/>
    </xf>
    <xf numFmtId="164" fontId="2" fillId="0" borderId="10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/>
    </xf>
    <xf numFmtId="164" fontId="2" fillId="0" borderId="12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0" xfId="0" applyFont="1"/>
    <xf numFmtId="2" fontId="3" fillId="0" borderId="6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4" fillId="0" borderId="0" xfId="0" applyFont="1" applyFill="1" applyBorder="1" applyAlignment="1">
      <alignment horizontal="left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right"/>
    </xf>
    <xf numFmtId="49" fontId="18" fillId="0" borderId="0" xfId="0" applyNumberFormat="1" applyFont="1" applyFill="1" applyBorder="1" applyAlignment="1">
      <alignment horizontal="left"/>
    </xf>
    <xf numFmtId="49" fontId="0" fillId="0" borderId="0" xfId="0" applyNumberFormat="1"/>
    <xf numFmtId="165" fontId="2" fillId="0" borderId="39" xfId="0" applyNumberFormat="1" applyFont="1" applyFill="1" applyBorder="1" applyAlignment="1">
      <alignment horizontal="center"/>
    </xf>
    <xf numFmtId="165" fontId="21" fillId="0" borderId="39" xfId="0" applyNumberFormat="1" applyFont="1" applyFill="1" applyBorder="1" applyAlignment="1">
      <alignment horizontal="center"/>
    </xf>
    <xf numFmtId="164" fontId="2" fillId="0" borderId="40" xfId="0" applyNumberFormat="1" applyFont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2" fontId="2" fillId="0" borderId="11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164" fontId="2" fillId="0" borderId="41" xfId="0" applyNumberFormat="1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2" fontId="2" fillId="0" borderId="13" xfId="0" applyNumberFormat="1" applyFont="1" applyBorder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19" fillId="3" borderId="32" xfId="0" applyFont="1" applyFill="1" applyBorder="1" applyAlignment="1">
      <alignment horizontal="center" vertical="center" wrapText="1"/>
    </xf>
    <xf numFmtId="0" fontId="19" fillId="3" borderId="28" xfId="0" applyFont="1" applyFill="1" applyBorder="1" applyAlignment="1">
      <alignment horizontal="center" vertical="center" wrapText="1"/>
    </xf>
    <xf numFmtId="0" fontId="19" fillId="3" borderId="24" xfId="0" applyFont="1" applyFill="1" applyBorder="1" applyAlignment="1">
      <alignment horizontal="center" vertical="center" wrapText="1"/>
    </xf>
    <xf numFmtId="0" fontId="19" fillId="3" borderId="25" xfId="0" applyFont="1" applyFill="1" applyBorder="1" applyAlignment="1">
      <alignment horizontal="center" vertical="center" wrapText="1"/>
    </xf>
    <xf numFmtId="0" fontId="19" fillId="3" borderId="27" xfId="0" applyFont="1" applyFill="1" applyBorder="1" applyAlignment="1">
      <alignment horizontal="center" vertical="center" wrapText="1"/>
    </xf>
    <xf numFmtId="0" fontId="19" fillId="3" borderId="26" xfId="0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textRotation="90" wrapText="1"/>
    </xf>
    <xf numFmtId="0" fontId="24" fillId="0" borderId="14" xfId="0" applyFont="1" applyBorder="1" applyAlignment="1">
      <alignment horizontal="center" vertical="center" textRotation="90" wrapText="1"/>
    </xf>
    <xf numFmtId="0" fontId="24" fillId="0" borderId="13" xfId="0" applyFont="1" applyBorder="1" applyAlignment="1">
      <alignment horizontal="center" vertical="center" textRotation="90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2" fillId="0" borderId="36" xfId="0" applyFont="1" applyBorder="1" applyAlignment="1">
      <alignment horizontal="center" vertical="center" textRotation="90" wrapText="1" readingOrder="1"/>
    </xf>
    <xf numFmtId="0" fontId="22" fillId="0" borderId="37" xfId="0" applyFont="1" applyBorder="1" applyAlignment="1">
      <alignment horizontal="center" vertical="center" textRotation="90" wrapText="1" readingOrder="1"/>
    </xf>
    <xf numFmtId="0" fontId="22" fillId="0" borderId="38" xfId="0" applyFont="1" applyBorder="1" applyAlignment="1">
      <alignment horizontal="center" vertical="center" textRotation="90" wrapText="1" readingOrder="1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2" fillId="0" borderId="26" xfId="0" applyFont="1" applyBorder="1" applyAlignment="1">
      <alignment horizontal="center" vertical="center" textRotation="90" wrapText="1" readingOrder="1"/>
    </xf>
    <xf numFmtId="0" fontId="22" fillId="0" borderId="27" xfId="0" applyFont="1" applyBorder="1" applyAlignment="1">
      <alignment horizontal="center" vertical="center" textRotation="90" wrapText="1" readingOrder="1"/>
    </xf>
    <xf numFmtId="0" fontId="22" fillId="0" borderId="25" xfId="0" applyFont="1" applyBorder="1" applyAlignment="1">
      <alignment horizontal="center" vertical="center" textRotation="90" wrapText="1" readingOrder="1"/>
    </xf>
    <xf numFmtId="0" fontId="15" fillId="0" borderId="10" xfId="0" applyFont="1" applyBorder="1" applyAlignment="1">
      <alignment horizontal="center" vertical="center" textRotation="90" wrapText="1"/>
    </xf>
    <xf numFmtId="0" fontId="15" fillId="0" borderId="35" xfId="0" applyFont="1" applyBorder="1" applyAlignment="1">
      <alignment horizontal="center" vertical="center" textRotation="90" wrapText="1"/>
    </xf>
    <xf numFmtId="0" fontId="15" fillId="0" borderId="33" xfId="0" applyFont="1" applyBorder="1" applyAlignment="1">
      <alignment horizontal="center" vertical="center" textRotation="90" wrapText="1"/>
    </xf>
    <xf numFmtId="0" fontId="15" fillId="0" borderId="1" xfId="0" applyFont="1" applyBorder="1" applyAlignment="1">
      <alignment horizontal="center" vertical="center" textRotation="90" wrapText="1"/>
    </xf>
    <xf numFmtId="0" fontId="15" fillId="0" borderId="11" xfId="0" applyFont="1" applyBorder="1" applyAlignment="1">
      <alignment horizontal="center" vertical="center" textRotation="90" wrapText="1"/>
    </xf>
    <xf numFmtId="0" fontId="15" fillId="0" borderId="14" xfId="0" applyFont="1" applyBorder="1" applyAlignment="1">
      <alignment horizontal="center" vertical="center" textRotation="90" wrapText="1"/>
    </xf>
    <xf numFmtId="0" fontId="9" fillId="0" borderId="21" xfId="0" applyFont="1" applyBorder="1" applyAlignment="1">
      <alignment horizontal="center" vertical="center" textRotation="90"/>
    </xf>
    <xf numFmtId="0" fontId="9" fillId="0" borderId="4" xfId="0" applyFont="1" applyBorder="1" applyAlignment="1">
      <alignment horizontal="center" vertical="center" textRotation="90"/>
    </xf>
    <xf numFmtId="0" fontId="9" fillId="0" borderId="22" xfId="0" applyFont="1" applyBorder="1" applyAlignment="1">
      <alignment horizontal="center" vertical="center" textRotation="90"/>
    </xf>
    <xf numFmtId="0" fontId="2" fillId="0" borderId="0" xfId="0" applyFont="1" applyAlignment="1">
      <alignment horizontal="left" wrapText="1"/>
    </xf>
    <xf numFmtId="0" fontId="24" fillId="0" borderId="33" xfId="0" applyFont="1" applyBorder="1" applyAlignment="1">
      <alignment horizontal="center" vertical="center" textRotation="90" wrapText="1"/>
    </xf>
    <xf numFmtId="0" fontId="24" fillId="0" borderId="1" xfId="0" applyFont="1" applyBorder="1" applyAlignment="1">
      <alignment horizontal="center" vertical="center" textRotation="90" wrapText="1"/>
    </xf>
    <xf numFmtId="0" fontId="24" fillId="0" borderId="34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SHEAR - TENSION / </a:t>
            </a:r>
            <a:r>
              <a:rPr lang="ru-RU" sz="10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СРЕЗ - РАСТЯЖЕНИЕ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8003724394785853E-2"/>
          <c:y val="0.10889580268179773"/>
          <c:w val="0.89752342256320561"/>
          <c:h val="0.79759625534027312"/>
        </c:manualLayout>
      </c:layout>
      <c:scatterChart>
        <c:scatterStyle val="lineMarker"/>
        <c:varyColors val="0"/>
        <c:ser>
          <c:idx val="0"/>
          <c:order val="0"/>
          <c:tx>
            <c:v>M=Mmin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5264867512225917E-3"/>
                  <c:y val="-2.1024721039461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6.7547814438953541E-3"/>
                  <c:y val="-3.938777222303001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2.1821103044279977E-3"/>
                  <c:y val="-1.38957793202683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5.1599415494869641E-3"/>
                  <c:y val="-1.10891529769160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9.6275898473584653E-3"/>
                  <c:y val="-1.72241769484381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layout>
                <c:manualLayout>
                  <c:x val="-7.9460316079486629E-3"/>
                  <c:y val="-1.5418849786949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layout>
                <c:manualLayout>
                  <c:x val="5.6596881919221053E-3"/>
                  <c:y val="2.6187431796386725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Charts!$C$98:$C$127</c:f>
              <c:numCache>
                <c:formatCode>0.0</c:formatCode>
                <c:ptCount val="3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19.700000000000049</c:v>
                </c:pt>
                <c:pt idx="5">
                  <c:v>20</c:v>
                </c:pt>
                <c:pt idx="6">
                  <c:v>22.5</c:v>
                </c:pt>
                <c:pt idx="7">
                  <c:v>25</c:v>
                </c:pt>
                <c:pt idx="8">
                  <c:v>27.5</c:v>
                </c:pt>
                <c:pt idx="9">
                  <c:v>30</c:v>
                </c:pt>
                <c:pt idx="10">
                  <c:v>32.5</c:v>
                </c:pt>
                <c:pt idx="11">
                  <c:v>35</c:v>
                </c:pt>
                <c:pt idx="12">
                  <c:v>37.5</c:v>
                </c:pt>
                <c:pt idx="13">
                  <c:v>40</c:v>
                </c:pt>
                <c:pt idx="14">
                  <c:v>40.600000000000009</c:v>
                </c:pt>
              </c:numCache>
            </c:numRef>
          </c:xVal>
          <c:yVal>
            <c:numRef>
              <c:f>Charts!$E$98:$E$127</c:f>
              <c:numCache>
                <c:formatCode>0.0</c:formatCode>
                <c:ptCount val="30"/>
                <c:pt idx="0">
                  <c:v>55.75</c:v>
                </c:pt>
                <c:pt idx="1">
                  <c:v>55.400000000000006</c:v>
                </c:pt>
                <c:pt idx="2">
                  <c:v>55.1</c:v>
                </c:pt>
                <c:pt idx="3">
                  <c:v>54.70000000000001</c:v>
                </c:pt>
                <c:pt idx="4">
                  <c:v>54.400000000000006</c:v>
                </c:pt>
                <c:pt idx="5">
                  <c:v>53.500000000000007</c:v>
                </c:pt>
                <c:pt idx="6">
                  <c:v>46.600000000000009</c:v>
                </c:pt>
                <c:pt idx="7">
                  <c:v>39.600000000000009</c:v>
                </c:pt>
                <c:pt idx="8">
                  <c:v>32.600000000000009</c:v>
                </c:pt>
                <c:pt idx="9">
                  <c:v>25.70000000000001</c:v>
                </c:pt>
                <c:pt idx="10">
                  <c:v>18.70000000000001</c:v>
                </c:pt>
                <c:pt idx="11">
                  <c:v>11.699999999999998</c:v>
                </c:pt>
                <c:pt idx="12">
                  <c:v>6.4999999999999982</c:v>
                </c:pt>
                <c:pt idx="13">
                  <c:v>1.3000000000000003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M=1.0 [кНм/kNm]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5221068570467449E-3"/>
                  <c:y val="2.2169932952757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3532515139518178E-2"/>
                  <c:y val="2.75861969096943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7.3875570023020322E-3"/>
                  <c:y val="-1.6091948197321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5.9590316573556795E-3"/>
                  <c:y val="-1.6091948197321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7.4487895716945996E-3"/>
                  <c:y val="-1.3793098454847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8.9385474860335188E-3"/>
                  <c:y val="-1.3793098454847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5007488356505928E-3"/>
                  <c:y val="4.567690787137739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Charts!$C$128:$C$149</c:f>
              <c:numCache>
                <c:formatCode>0.0</c:formatCode>
                <c:ptCount val="22"/>
                <c:pt idx="0">
                  <c:v>0</c:v>
                </c:pt>
                <c:pt idx="1">
                  <c:v>18.280000000000015</c:v>
                </c:pt>
                <c:pt idx="2">
                  <c:v>20</c:v>
                </c:pt>
                <c:pt idx="3">
                  <c:v>22.5</c:v>
                </c:pt>
                <c:pt idx="4">
                  <c:v>25</c:v>
                </c:pt>
                <c:pt idx="5">
                  <c:v>27.5</c:v>
                </c:pt>
                <c:pt idx="6">
                  <c:v>30</c:v>
                </c:pt>
                <c:pt idx="7">
                  <c:v>32.5</c:v>
                </c:pt>
                <c:pt idx="8">
                  <c:v>35</c:v>
                </c:pt>
                <c:pt idx="9">
                  <c:v>37.5</c:v>
                </c:pt>
                <c:pt idx="10">
                  <c:v>38.279999999999987</c:v>
                </c:pt>
              </c:numCache>
            </c:numRef>
          </c:xVal>
          <c:yVal>
            <c:numRef>
              <c:f>Charts!$E$128:$E$149</c:f>
              <c:numCache>
                <c:formatCode>0.0</c:formatCode>
                <c:ptCount val="22"/>
                <c:pt idx="0">
                  <c:v>52.489999999999988</c:v>
                </c:pt>
                <c:pt idx="1">
                  <c:v>52.489999999999988</c:v>
                </c:pt>
                <c:pt idx="2">
                  <c:v>46.95</c:v>
                </c:pt>
                <c:pt idx="3">
                  <c:v>38.869999999999997</c:v>
                </c:pt>
                <c:pt idx="4">
                  <c:v>30.800000000000011</c:v>
                </c:pt>
                <c:pt idx="5">
                  <c:v>23.460000000000015</c:v>
                </c:pt>
                <c:pt idx="6">
                  <c:v>18.020000000000003</c:v>
                </c:pt>
                <c:pt idx="7">
                  <c:v>12.579999999999997</c:v>
                </c:pt>
                <c:pt idx="8">
                  <c:v>7.1399999999999988</c:v>
                </c:pt>
                <c:pt idx="9">
                  <c:v>1.7000000000000006</c:v>
                </c:pt>
                <c:pt idx="10">
                  <c:v>0</c:v>
                </c:pt>
              </c:numCache>
            </c:numRef>
          </c:yVal>
          <c:smooth val="0"/>
        </c:ser>
        <c:ser>
          <c:idx val="5"/>
          <c:order val="2"/>
          <c:tx>
            <c:v>M=1.5 [кНм/kNm]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5273340900068554E-3"/>
                  <c:y val="2.21501731072920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9906815339357806E-2"/>
                  <c:y val="2.37088918930011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6.6555103430863093E-3"/>
                  <c:y val="-1.33765553459742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8.1469346533026739E-3"/>
                  <c:y val="-9.255950097199313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9.3458290383848699E-3"/>
                  <c:y val="-1.23733452203328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1.3065540383954723E-2"/>
                  <c:y val="-1.52883519883867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1.2133891390656648E-3"/>
                  <c:y val="4.614930318316382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Charts!$C$150:$C$171</c:f>
              <c:numCache>
                <c:formatCode>0.0</c:formatCode>
                <c:ptCount val="22"/>
                <c:pt idx="0">
                  <c:v>0</c:v>
                </c:pt>
                <c:pt idx="1">
                  <c:v>15.759999999999996</c:v>
                </c:pt>
                <c:pt idx="2">
                  <c:v>20</c:v>
                </c:pt>
                <c:pt idx="3">
                  <c:v>22.5</c:v>
                </c:pt>
                <c:pt idx="4">
                  <c:v>25</c:v>
                </c:pt>
                <c:pt idx="5">
                  <c:v>27.5</c:v>
                </c:pt>
                <c:pt idx="6">
                  <c:v>30</c:v>
                </c:pt>
                <c:pt idx="7">
                  <c:v>32.5</c:v>
                </c:pt>
                <c:pt idx="8">
                  <c:v>35</c:v>
                </c:pt>
                <c:pt idx="9">
                  <c:v>36.279999999999987</c:v>
                </c:pt>
              </c:numCache>
            </c:numRef>
          </c:xVal>
          <c:yVal>
            <c:numRef>
              <c:f>Charts!$E$150:$E$171</c:f>
              <c:numCache>
                <c:formatCode>0.0</c:formatCode>
                <c:ptCount val="22"/>
                <c:pt idx="0">
                  <c:v>48.129999999999995</c:v>
                </c:pt>
                <c:pt idx="1">
                  <c:v>48.129999999999995</c:v>
                </c:pt>
                <c:pt idx="2">
                  <c:v>35.449999999999996</c:v>
                </c:pt>
                <c:pt idx="3">
                  <c:v>30.01</c:v>
                </c:pt>
                <c:pt idx="4">
                  <c:v>24.560000000000016</c:v>
                </c:pt>
                <c:pt idx="5">
                  <c:v>19.120000000000005</c:v>
                </c:pt>
                <c:pt idx="6">
                  <c:v>13.679999999999996</c:v>
                </c:pt>
                <c:pt idx="7">
                  <c:v>8.2399999999999984</c:v>
                </c:pt>
                <c:pt idx="8">
                  <c:v>2.8000000000000007</c:v>
                </c:pt>
                <c:pt idx="9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M=2.0 [кНм/kNm]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53404713152394E-3"/>
                  <c:y val="-2.4042331725585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8.1395362492441212E-3"/>
                  <c:y val="-9.2215576439417454E-3"/>
                </c:manualLayout>
              </c:layout>
              <c:tx>
                <c:rich>
                  <a:bodyPr/>
                  <a:lstStyle/>
                  <a:p>
                    <a:fld id="{D18A39F4-0226-4A06-A9F1-B80A6E496A47}" type="YVALUE">
                      <a:rPr lang="en-US">
                        <a:solidFill>
                          <a:sysClr val="windowText" lastClr="000000"/>
                        </a:solidFill>
                      </a:rPr>
                      <a:pPr/>
                      <a:t>[ЗНАЧЕНИЕ Y]</a:t>
                    </a:fld>
                    <a:endParaRPr lang="ru-RU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6.6447063244611205E-3"/>
                  <c:y val="-5.100952395166768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6.2292213473315837E-3"/>
                  <c:y val="-7.161255019554218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3.0773602964059132E-2"/>
                  <c:y val="4.4711324834612043E-2"/>
                </c:manualLayout>
              </c:layout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065411286676414E-2"/>
                      <c:h val="2.4671556127104768E-2"/>
                    </c:manualLayout>
                  </c15:layout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Charts!$C$172:$C$192</c:f>
              <c:numCache>
                <c:formatCode>0.0</c:formatCode>
                <c:ptCount val="21"/>
                <c:pt idx="0">
                  <c:v>0</c:v>
                </c:pt>
                <c:pt idx="1">
                  <c:v>15.959999999999996</c:v>
                </c:pt>
                <c:pt idx="2">
                  <c:v>20</c:v>
                </c:pt>
                <c:pt idx="3">
                  <c:v>22.5</c:v>
                </c:pt>
                <c:pt idx="4">
                  <c:v>25</c:v>
                </c:pt>
                <c:pt idx="5">
                  <c:v>27.5</c:v>
                </c:pt>
                <c:pt idx="6">
                  <c:v>30</c:v>
                </c:pt>
                <c:pt idx="7">
                  <c:v>32.5</c:v>
                </c:pt>
                <c:pt idx="8">
                  <c:v>34.289999999999985</c:v>
                </c:pt>
              </c:numCache>
            </c:numRef>
          </c:xVal>
          <c:yVal>
            <c:numRef>
              <c:f>Charts!$E$172:$E$192</c:f>
              <c:numCache>
                <c:formatCode>0.0</c:formatCode>
                <c:ptCount val="21"/>
                <c:pt idx="0">
                  <c:v>39.900000000000013</c:v>
                </c:pt>
                <c:pt idx="1">
                  <c:v>39.900000000000013</c:v>
                </c:pt>
                <c:pt idx="2">
                  <c:v>31.110000000000003</c:v>
                </c:pt>
                <c:pt idx="3">
                  <c:v>25.670000000000019</c:v>
                </c:pt>
                <c:pt idx="4">
                  <c:v>20.230000000000008</c:v>
                </c:pt>
                <c:pt idx="5">
                  <c:v>14.779999999999996</c:v>
                </c:pt>
                <c:pt idx="6">
                  <c:v>9.3399999999999981</c:v>
                </c:pt>
                <c:pt idx="7">
                  <c:v>3.9000000000000008</c:v>
                </c:pt>
                <c:pt idx="8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M=2.5 [кНм/kNm]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8198778052739216E-3"/>
                  <c:y val="-2.378938115723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7702849023571937E-2"/>
                  <c:y val="-2.64205000183323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5.4381088270006574E-2"/>
                  <c:y val="3.3056779182975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1.527084548734902E-2"/>
                  <c:y val="-1.73054517413639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1.7303191095980455E-2"/>
                  <c:y val="-2.15231068735199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1.9635765238349472E-2"/>
                  <c:y val="1.608616462755558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Charts!$C$194:$C$214</c:f>
              <c:numCache>
                <c:formatCode>0.0</c:formatCode>
                <c:ptCount val="21"/>
                <c:pt idx="0">
                  <c:v>0</c:v>
                </c:pt>
                <c:pt idx="1">
                  <c:v>19.710000000000012</c:v>
                </c:pt>
                <c:pt idx="2">
                  <c:v>20</c:v>
                </c:pt>
                <c:pt idx="3">
                  <c:v>22.5</c:v>
                </c:pt>
                <c:pt idx="4">
                  <c:v>25</c:v>
                </c:pt>
                <c:pt idx="5">
                  <c:v>27.5</c:v>
                </c:pt>
                <c:pt idx="6">
                  <c:v>30</c:v>
                </c:pt>
                <c:pt idx="7">
                  <c:v>32.300000000000004</c:v>
                </c:pt>
              </c:numCache>
            </c:numRef>
          </c:xVal>
          <c:yVal>
            <c:numRef>
              <c:f>Charts!$E$194:$E$214</c:f>
              <c:numCache>
                <c:formatCode>0.0</c:formatCode>
                <c:ptCount val="21"/>
                <c:pt idx="0">
                  <c:v>27.400000000000006</c:v>
                </c:pt>
                <c:pt idx="1">
                  <c:v>27.400000000000006</c:v>
                </c:pt>
                <c:pt idx="2">
                  <c:v>26.770000000000021</c:v>
                </c:pt>
                <c:pt idx="3">
                  <c:v>21.330000000000009</c:v>
                </c:pt>
                <c:pt idx="4">
                  <c:v>15.889999999999995</c:v>
                </c:pt>
                <c:pt idx="5">
                  <c:v>10.449999999999998</c:v>
                </c:pt>
                <c:pt idx="6">
                  <c:v>5.01</c:v>
                </c:pt>
                <c:pt idx="7">
                  <c:v>0</c:v>
                </c:pt>
              </c:numCache>
            </c:numRef>
          </c:yVal>
          <c:smooth val="0"/>
        </c:ser>
        <c:ser>
          <c:idx val="3"/>
          <c:order val="5"/>
          <c:tx>
            <c:v>M=3.0 [кНм/kNm]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8317375825678559E-3"/>
                  <c:y val="-2.0924939956457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6096171130750702E-2"/>
                  <c:y val="-2.46701273554803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5.443746840587995E-2"/>
                  <c:y val="1.94427525413676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5.9947592596586288E-2"/>
                  <c:y val="-1.3797530160696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4553299896020146E-2"/>
                  <c:y val="4.24570937269209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Charts!$C$216:$C$235</c:f>
              <c:numCache>
                <c:formatCode>0.0</c:formatCode>
                <c:ptCount val="20"/>
                <c:pt idx="0">
                  <c:v>0</c:v>
                </c:pt>
                <c:pt idx="1">
                  <c:v>23.460000000000015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30.300000000000004</c:v>
                </c:pt>
              </c:numCache>
            </c:numRef>
          </c:xVal>
          <c:yVal>
            <c:numRef>
              <c:f>Charts!$E$216:$E$235</c:f>
              <c:numCache>
                <c:formatCode>0.0</c:formatCode>
                <c:ptCount val="20"/>
                <c:pt idx="0">
                  <c:v>14.899999999999997</c:v>
                </c:pt>
                <c:pt idx="1">
                  <c:v>14.899999999999997</c:v>
                </c:pt>
                <c:pt idx="2">
                  <c:v>11.549999999999997</c:v>
                </c:pt>
                <c:pt idx="3">
                  <c:v>6.1099999999999994</c:v>
                </c:pt>
                <c:pt idx="4">
                  <c:v>0.67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88168"/>
        <c:axId val="119687384"/>
      </c:scatterChart>
      <c:valAx>
        <c:axId val="119688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Q [</a:t>
                </a:r>
                <a:r>
                  <a:rPr lang="ru-RU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кН/</a:t>
                </a: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kN]</a:t>
                </a:r>
                <a:endParaRPr lang="ru-RU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7782976289974932"/>
              <c:y val="0.95244955488340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87384"/>
        <c:crosses val="autoZero"/>
        <c:crossBetween val="midCat"/>
      </c:valAx>
      <c:valAx>
        <c:axId val="11968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N [</a:t>
                </a:r>
                <a:r>
                  <a:rPr lang="ru-RU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кН/</a:t>
                </a: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kN]</a:t>
                </a:r>
                <a:endParaRPr lang="ru-RU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1.3535682341383307E-2"/>
              <c:y val="0.453829977218214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88168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SHEAR - BENDING / </a:t>
            </a:r>
            <a:r>
              <a:rPr lang="ru-RU" sz="10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СРЕЗ - МОМЕНТ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9821624127137253E-2"/>
          <c:y val="0.10084370734457467"/>
          <c:w val="0.88530551334936614"/>
          <c:h val="0.767855997883511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493438320209973E-3"/>
                  <c:y val="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>
                <c:manualLayout>
                  <c:x val="4.6310775447801497E-3"/>
                  <c:y val="-3.8834994761249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layout>
                <c:manualLayout>
                  <c:x val="2.4813895781637717E-3"/>
                  <c:y val="-1.23520309364883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layout>
                <c:manualLayout>
                  <c:x val="3.7046660841046838E-3"/>
                  <c:y val="4.047894360351748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Charts!$C$54:$C$75</c:f>
              <c:numCache>
                <c:formatCode>0.0</c:formatCode>
                <c:ptCount val="22"/>
                <c:pt idx="0">
                  <c:v>0</c:v>
                </c:pt>
                <c:pt idx="1">
                  <c:v>27.930000000000017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40.600000000000009</c:v>
                </c:pt>
                <c:pt idx="6">
                  <c:v>40.600000000000009</c:v>
                </c:pt>
              </c:numCache>
            </c:numRef>
          </c:xVal>
          <c:yVal>
            <c:numRef>
              <c:f>Charts!$D$54:$D$75</c:f>
              <c:numCache>
                <c:formatCode>0.00</c:formatCode>
                <c:ptCount val="22"/>
                <c:pt idx="0">
                  <c:v>3.5960000000000001</c:v>
                </c:pt>
                <c:pt idx="1">
                  <c:v>3.5960000000000001</c:v>
                </c:pt>
                <c:pt idx="2">
                  <c:v>3.077</c:v>
                </c:pt>
                <c:pt idx="3">
                  <c:v>1.8230000000000002</c:v>
                </c:pt>
                <c:pt idx="4">
                  <c:v>0.56799999999999995</c:v>
                </c:pt>
                <c:pt idx="5">
                  <c:v>0.40600000000000008</c:v>
                </c:pt>
                <c:pt idx="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87776"/>
        <c:axId val="119685816"/>
      </c:scatterChart>
      <c:valAx>
        <c:axId val="11968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Q [</a:t>
                </a:r>
                <a:r>
                  <a:rPr lang="ru-RU" b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кН/</a:t>
                </a:r>
                <a:r>
                  <a:rPr lang="en-US" b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kN]</a:t>
                </a:r>
                <a:endParaRPr lang="ru-RU" b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5908239123740818"/>
              <c:y val="0.93545170922076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85816"/>
        <c:crosses val="autoZero"/>
        <c:crossBetween val="midCat"/>
      </c:valAx>
      <c:valAx>
        <c:axId val="11968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 [</a:t>
                </a:r>
                <a:r>
                  <a:rPr lang="ru-RU" b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кНм/</a:t>
                </a:r>
                <a:r>
                  <a:rPr lang="en-US" b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kNm]</a:t>
                </a:r>
                <a:endParaRPr lang="ru-RU" b="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1.2832118084734579E-2"/>
              <c:y val="0.380952695754227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8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TENSION - BENDING / </a:t>
            </a:r>
            <a:r>
              <a:rPr lang="ru-RU" sz="1000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РАСТЯЖЕНИЕ - МОМЕНТ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4589748963683977E-2"/>
          <c:y val="0.10008998186831526"/>
          <c:w val="0.90093854917661564"/>
          <c:h val="0.7979540588813682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988308279646878E-3"/>
                  <c:y val="-2.96060521846533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6.1126371747005541E-3"/>
                  <c:y val="-2.38148326362128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6.0180015376865771E-2"/>
                  <c:y val="3.9520024702794504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Charts!$E$76:$E$97</c:f>
              <c:numCache>
                <c:formatCode>0.0</c:formatCode>
                <c:ptCount val="22"/>
                <c:pt idx="0">
                  <c:v>55.75</c:v>
                </c:pt>
                <c:pt idx="1">
                  <c:v>55.750000000000014</c:v>
                </c:pt>
                <c:pt idx="2">
                  <c:v>55</c:v>
                </c:pt>
                <c:pt idx="3">
                  <c:v>50</c:v>
                </c:pt>
                <c:pt idx="4">
                  <c:v>45</c:v>
                </c:pt>
                <c:pt idx="5">
                  <c:v>40</c:v>
                </c:pt>
                <c:pt idx="6">
                  <c:v>35</c:v>
                </c:pt>
                <c:pt idx="7">
                  <c:v>30</c:v>
                </c:pt>
                <c:pt idx="8">
                  <c:v>25</c:v>
                </c:pt>
                <c:pt idx="9">
                  <c:v>20</c:v>
                </c:pt>
                <c:pt idx="10">
                  <c:v>15</c:v>
                </c:pt>
                <c:pt idx="11">
                  <c:v>10</c:v>
                </c:pt>
                <c:pt idx="12">
                  <c:v>5</c:v>
                </c:pt>
                <c:pt idx="13">
                  <c:v>0</c:v>
                </c:pt>
              </c:numCache>
            </c:numRef>
          </c:xVal>
          <c:yVal>
            <c:numRef>
              <c:f>Charts!$D$76:$D$97</c:f>
              <c:numCache>
                <c:formatCode>0.00</c:formatCode>
                <c:ptCount val="22"/>
                <c:pt idx="0">
                  <c:v>0</c:v>
                </c:pt>
                <c:pt idx="1">
                  <c:v>0.5576000000000001</c:v>
                </c:pt>
                <c:pt idx="2">
                  <c:v>0.66500000000000004</c:v>
                </c:pt>
                <c:pt idx="3">
                  <c:v>1.2990000000000002</c:v>
                </c:pt>
                <c:pt idx="4">
                  <c:v>1.794</c:v>
                </c:pt>
                <c:pt idx="5">
                  <c:v>1.9960000000000002</c:v>
                </c:pt>
                <c:pt idx="6">
                  <c:v>2.1960000000000002</c:v>
                </c:pt>
                <c:pt idx="7">
                  <c:v>2.3959999999999999</c:v>
                </c:pt>
                <c:pt idx="8">
                  <c:v>2.5960000000000001</c:v>
                </c:pt>
                <c:pt idx="9">
                  <c:v>2.7960000000000003</c:v>
                </c:pt>
                <c:pt idx="10">
                  <c:v>2.996</c:v>
                </c:pt>
                <c:pt idx="11">
                  <c:v>3.1960000000000002</c:v>
                </c:pt>
                <c:pt idx="12">
                  <c:v>3.3959999999999999</c:v>
                </c:pt>
                <c:pt idx="13">
                  <c:v>3.5960000000000001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9685424"/>
        <c:axId val="119686208"/>
      </c:scatterChart>
      <c:valAx>
        <c:axId val="11968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N [</a:t>
                </a:r>
                <a:r>
                  <a:rPr lang="ru-RU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кН/</a:t>
                </a: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kN]</a:t>
                </a:r>
                <a:endParaRPr lang="ru-RU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86208"/>
        <c:crosses val="autoZero"/>
        <c:crossBetween val="midCat"/>
        <c:minorUnit val="1"/>
      </c:valAx>
      <c:valAx>
        <c:axId val="11968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 [</a:t>
                </a:r>
                <a:r>
                  <a:rPr lang="ru-RU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кНм/</a:t>
                </a:r>
                <a:r>
                  <a:rPr lang="en-US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kNm]</a:t>
                </a:r>
                <a:endParaRPr lang="ru-RU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8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2267</xdr:colOff>
      <xdr:row>304</xdr:row>
      <xdr:rowOff>46261</xdr:rowOff>
    </xdr:from>
    <xdr:to>
      <xdr:col>13</xdr:col>
      <xdr:colOff>601216</xdr:colOff>
      <xdr:row>347</xdr:row>
      <xdr:rowOff>2598</xdr:rowOff>
    </xdr:to>
    <xdr:graphicFrame macro="">
      <xdr:nvGraphicFramePr>
        <xdr:cNvPr id="8" name="Диаграмма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266700</xdr:colOff>
      <xdr:row>2</xdr:row>
      <xdr:rowOff>115558</xdr:rowOff>
    </xdr:from>
    <xdr:to>
      <xdr:col>14</xdr:col>
      <xdr:colOff>465529</xdr:colOff>
      <xdr:row>18</xdr:row>
      <xdr:rowOff>59532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67325" y="610858"/>
          <a:ext cx="4980379" cy="2991974"/>
        </a:xfrm>
        <a:prstGeom prst="rect">
          <a:avLst/>
        </a:prstGeom>
      </xdr:spPr>
    </xdr:pic>
    <xdr:clientData/>
  </xdr:twoCellAnchor>
  <xdr:twoCellAnchor editAs="oneCell">
    <xdr:from>
      <xdr:col>7</xdr:col>
      <xdr:colOff>855958</xdr:colOff>
      <xdr:row>27</xdr:row>
      <xdr:rowOff>22225</xdr:rowOff>
    </xdr:from>
    <xdr:to>
      <xdr:col>14</xdr:col>
      <xdr:colOff>446173</xdr:colOff>
      <xdr:row>38</xdr:row>
      <xdr:rowOff>88900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3708" y="5705475"/>
          <a:ext cx="4352715" cy="325755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240</xdr:row>
      <xdr:rowOff>4761</xdr:rowOff>
    </xdr:from>
    <xdr:to>
      <xdr:col>13</xdr:col>
      <xdr:colOff>597634</xdr:colOff>
      <xdr:row>267</xdr:row>
      <xdr:rowOff>47625</xdr:rowOff>
    </xdr:to>
    <xdr:graphicFrame macro="">
      <xdr:nvGraphicFramePr>
        <xdr:cNvPr id="5" name="Диаграмма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32401</xdr:colOff>
      <xdr:row>270</xdr:row>
      <xdr:rowOff>163019</xdr:rowOff>
    </xdr:from>
    <xdr:to>
      <xdr:col>13</xdr:col>
      <xdr:colOff>611909</xdr:colOff>
      <xdr:row>298</xdr:row>
      <xdr:rowOff>150091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240370</xdr:colOff>
      <xdr:row>53</xdr:row>
      <xdr:rowOff>11206</xdr:rowOff>
    </xdr:from>
    <xdr:to>
      <xdr:col>17</xdr:col>
      <xdr:colOff>280151</xdr:colOff>
      <xdr:row>55</xdr:row>
      <xdr:rowOff>58831</xdr:rowOff>
    </xdr:to>
    <xdr:sp macro="[0]!Table1" textlink="">
      <xdr:nvSpPr>
        <xdr:cNvPr id="7" name="Блок-схема: знак завершения 6"/>
        <xdr:cNvSpPr/>
      </xdr:nvSpPr>
      <xdr:spPr>
        <a:xfrm>
          <a:off x="9855017" y="11743765"/>
          <a:ext cx="1328458" cy="428625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300" b="0"/>
            <a:t>Срез-Момент</a:t>
          </a:r>
        </a:p>
      </xdr:txBody>
    </xdr:sp>
    <xdr:clientData/>
  </xdr:twoCellAnchor>
  <xdr:twoCellAnchor>
    <xdr:from>
      <xdr:col>14</xdr:col>
      <xdr:colOff>179857</xdr:colOff>
      <xdr:row>75</xdr:row>
      <xdr:rowOff>16248</xdr:rowOff>
    </xdr:from>
    <xdr:to>
      <xdr:col>17</xdr:col>
      <xdr:colOff>324972</xdr:colOff>
      <xdr:row>78</xdr:row>
      <xdr:rowOff>156882</xdr:rowOff>
    </xdr:to>
    <xdr:sp macro="[0]!Table2" textlink="">
      <xdr:nvSpPr>
        <xdr:cNvPr id="9" name="Блок-схема: знак завершения 8"/>
        <xdr:cNvSpPr/>
      </xdr:nvSpPr>
      <xdr:spPr>
        <a:xfrm>
          <a:off x="9794504" y="15951013"/>
          <a:ext cx="1433792" cy="712134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300" b="0"/>
            <a:t>Растяжение-Момент</a:t>
          </a:r>
        </a:p>
      </xdr:txBody>
    </xdr:sp>
    <xdr:clientData/>
  </xdr:twoCellAnchor>
  <xdr:twoCellAnchor>
    <xdr:from>
      <xdr:col>14</xdr:col>
      <xdr:colOff>191062</xdr:colOff>
      <xdr:row>97</xdr:row>
      <xdr:rowOff>16248</xdr:rowOff>
    </xdr:from>
    <xdr:to>
      <xdr:col>17</xdr:col>
      <xdr:colOff>336177</xdr:colOff>
      <xdr:row>102</xdr:row>
      <xdr:rowOff>112058</xdr:rowOff>
    </xdr:to>
    <xdr:sp macro="[0]!Table3" textlink="">
      <xdr:nvSpPr>
        <xdr:cNvPr id="10" name="Блок-схема: знак завершения 9"/>
        <xdr:cNvSpPr/>
      </xdr:nvSpPr>
      <xdr:spPr>
        <a:xfrm>
          <a:off x="9805709" y="20153219"/>
          <a:ext cx="1433792" cy="1048310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300" b="0"/>
            <a:t>Срез-Растяжение</a:t>
          </a:r>
          <a:endParaRPr lang="en-US" sz="1300" b="0"/>
        </a:p>
        <a:p>
          <a:pPr algn="ctr"/>
          <a:r>
            <a:rPr lang="en-US" sz="1300" b="0"/>
            <a:t>Mmin</a:t>
          </a:r>
          <a:endParaRPr lang="ru-RU" sz="1300" b="0"/>
        </a:p>
      </xdr:txBody>
    </xdr:sp>
    <xdr:clientData/>
  </xdr:twoCellAnchor>
  <xdr:twoCellAnchor>
    <xdr:from>
      <xdr:col>14</xdr:col>
      <xdr:colOff>179295</xdr:colOff>
      <xdr:row>126</xdr:row>
      <xdr:rowOff>161927</xdr:rowOff>
    </xdr:from>
    <xdr:to>
      <xdr:col>17</xdr:col>
      <xdr:colOff>324410</xdr:colOff>
      <xdr:row>132</xdr:row>
      <xdr:rowOff>27456</xdr:rowOff>
    </xdr:to>
    <xdr:sp macro="[0]!Table4" textlink="">
      <xdr:nvSpPr>
        <xdr:cNvPr id="11" name="Блок-схема: знак завершения 10"/>
        <xdr:cNvSpPr/>
      </xdr:nvSpPr>
      <xdr:spPr>
        <a:xfrm>
          <a:off x="9793942" y="24299398"/>
          <a:ext cx="1433792" cy="1053352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300" b="0"/>
            <a:t>Срез-Растяжение</a:t>
          </a:r>
          <a:endParaRPr lang="en-US" sz="1300" b="0"/>
        </a:p>
        <a:p>
          <a:pPr algn="ctr"/>
          <a:r>
            <a:rPr lang="en-US" sz="1300" b="0"/>
            <a:t>M</a:t>
          </a:r>
          <a:endParaRPr lang="ru-RU" sz="1300" b="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Z237"/>
  <sheetViews>
    <sheetView tabSelected="1" topLeftCell="A40" zoomScale="85" zoomScaleNormal="85" zoomScaleSheetLayoutView="40" zoomScalePageLayoutView="30" workbookViewId="0">
      <selection activeCell="T29" sqref="T29"/>
    </sheetView>
  </sheetViews>
  <sheetFormatPr defaultRowHeight="15" x14ac:dyDescent="0.25"/>
  <cols>
    <col min="1" max="1" width="2.7109375" customWidth="1"/>
    <col min="2" max="2" width="11.7109375" customWidth="1"/>
    <col min="3" max="3" width="13.7109375" customWidth="1"/>
    <col min="4" max="4" width="12.140625" customWidth="1"/>
    <col min="5" max="5" width="11.140625" customWidth="1"/>
    <col min="6" max="6" width="10.28515625" customWidth="1"/>
    <col min="7" max="7" width="11.140625" customWidth="1"/>
    <col min="8" max="8" width="13.140625" customWidth="1"/>
    <col min="9" max="9" width="11" customWidth="1"/>
    <col min="11" max="11" width="11.85546875" customWidth="1"/>
    <col min="12" max="12" width="8.140625" customWidth="1"/>
    <col min="13" max="13" width="9.28515625" customWidth="1"/>
    <col min="15" max="15" width="7.28515625" customWidth="1"/>
    <col min="16" max="16" width="3" customWidth="1"/>
    <col min="18" max="18" width="14.28515625" customWidth="1"/>
    <col min="19" max="19" width="14.7109375" customWidth="1"/>
    <col min="20" max="20" width="11" customWidth="1"/>
    <col min="21" max="21" width="8" customWidth="1"/>
    <col min="22" max="22" width="8.28515625" customWidth="1"/>
    <col min="24" max="24" width="10.42578125" customWidth="1"/>
    <col min="26" max="26" width="8.7109375" customWidth="1"/>
    <col min="28" max="28" width="8.140625" customWidth="1"/>
    <col min="29" max="29" width="8.5703125" customWidth="1"/>
    <col min="30" max="30" width="8" customWidth="1"/>
    <col min="31" max="31" width="7.85546875" customWidth="1"/>
  </cols>
  <sheetData>
    <row r="1" spans="2:12" ht="24" customHeight="1" x14ac:dyDescent="0.25">
      <c r="B1" s="58" t="s">
        <v>106</v>
      </c>
      <c r="C1" s="2"/>
      <c r="D1" s="2"/>
      <c r="E1" s="2"/>
      <c r="F1" s="2"/>
      <c r="G1" s="2"/>
      <c r="H1" s="2"/>
      <c r="I1" s="2"/>
      <c r="J1" s="2"/>
      <c r="K1" s="2"/>
      <c r="L1" s="2"/>
    </row>
    <row r="3" spans="2:12" x14ac:dyDescent="0.25">
      <c r="B3" s="74" t="s">
        <v>110</v>
      </c>
      <c r="C3" s="2"/>
      <c r="D3" s="2"/>
      <c r="E3" s="2"/>
      <c r="F3" s="2"/>
      <c r="G3" s="2"/>
      <c r="H3" s="2"/>
      <c r="I3" s="2"/>
      <c r="J3" s="2"/>
      <c r="K3" s="2"/>
    </row>
    <row r="4" spans="2:12" ht="15" customHeight="1" x14ac:dyDescent="0.25">
      <c r="B4" s="40"/>
      <c r="C4" s="44"/>
      <c r="D4" s="1"/>
      <c r="E4" s="2"/>
    </row>
    <row r="5" spans="2:12" ht="15" customHeight="1" x14ac:dyDescent="0.25">
      <c r="E5" s="44" t="s">
        <v>112</v>
      </c>
      <c r="F5" s="17" t="s">
        <v>8</v>
      </c>
    </row>
    <row r="6" spans="2:12" x14ac:dyDescent="0.25">
      <c r="C6" s="44"/>
      <c r="E6" s="2"/>
      <c r="F6" s="2"/>
    </row>
    <row r="7" spans="2:12" ht="15" customHeight="1" x14ac:dyDescent="0.25">
      <c r="E7" s="44" t="s">
        <v>140</v>
      </c>
      <c r="F7" s="62" t="s">
        <v>61</v>
      </c>
    </row>
    <row r="8" spans="2:12" ht="15" customHeight="1" x14ac:dyDescent="0.25">
      <c r="B8" s="2"/>
      <c r="C8" s="2"/>
      <c r="D8" s="2"/>
      <c r="E8" s="2"/>
    </row>
    <row r="9" spans="2:12" ht="15" customHeight="1" x14ac:dyDescent="0.25">
      <c r="B9" s="48" t="s">
        <v>114</v>
      </c>
      <c r="D9" s="1"/>
      <c r="E9" s="1"/>
      <c r="F9" s="2"/>
      <c r="G9" s="2"/>
    </row>
    <row r="10" spans="2:12" ht="15" customHeight="1" x14ac:dyDescent="0.25">
      <c r="E10" s="44" t="s">
        <v>113</v>
      </c>
      <c r="F10" s="17" t="s">
        <v>30</v>
      </c>
    </row>
    <row r="11" spans="2:12" ht="15" customHeight="1" x14ac:dyDescent="0.25">
      <c r="B11" s="48" t="s">
        <v>115</v>
      </c>
      <c r="E11" s="44"/>
    </row>
    <row r="12" spans="2:12" ht="15" customHeight="1" x14ac:dyDescent="0.25">
      <c r="B12" s="49" t="s">
        <v>116</v>
      </c>
      <c r="F12" s="2"/>
    </row>
    <row r="13" spans="2:12" ht="15" customHeight="1" x14ac:dyDescent="0.25">
      <c r="C13" s="97" t="s">
        <v>107</v>
      </c>
      <c r="D13" s="98"/>
      <c r="E13" s="98"/>
      <c r="F13" s="99"/>
    </row>
    <row r="14" spans="2:12" ht="15" customHeight="1" x14ac:dyDescent="0.25">
      <c r="B14" s="11"/>
      <c r="C14" s="97" t="s">
        <v>108</v>
      </c>
      <c r="D14" s="98"/>
      <c r="E14" s="98"/>
      <c r="F14" s="99"/>
    </row>
    <row r="15" spans="2:12" ht="15" customHeight="1" x14ac:dyDescent="0.25">
      <c r="C15" s="97" t="s">
        <v>109</v>
      </c>
      <c r="D15" s="98"/>
      <c r="E15" s="98"/>
      <c r="F15" s="99"/>
    </row>
    <row r="16" spans="2:12" ht="15" customHeight="1" x14ac:dyDescent="0.3">
      <c r="B16" s="1"/>
      <c r="C16" s="11" t="s">
        <v>68</v>
      </c>
      <c r="D16" s="75">
        <f>IF(C13="бетонный элемент / concrete",0.9,1)*IF(C14="длительные нагрузки / long-term load",0.9,1)*IF(C15="слой бетонированния &gt;1,5м / concreting layer &gt;1,5m",0.85,1)</f>
        <v>0.9</v>
      </c>
    </row>
    <row r="17" spans="2:15" ht="15" customHeight="1" x14ac:dyDescent="0.25">
      <c r="B17" s="1"/>
      <c r="C17" s="11"/>
      <c r="D17" s="76"/>
    </row>
    <row r="18" spans="2:15" ht="15" customHeight="1" x14ac:dyDescent="0.25">
      <c r="B18" s="74" t="s">
        <v>117</v>
      </c>
      <c r="C18" s="11"/>
      <c r="D18" s="76"/>
    </row>
    <row r="19" spans="2:15" ht="15" customHeight="1" thickBot="1" x14ac:dyDescent="0.3">
      <c r="B19" s="2"/>
      <c r="C19" s="2"/>
      <c r="D19" s="2"/>
      <c r="E19" s="2"/>
      <c r="F19" s="2"/>
      <c r="G19" s="1"/>
      <c r="H19" s="1"/>
    </row>
    <row r="20" spans="2:15" ht="23.25" customHeight="1" thickBot="1" x14ac:dyDescent="0.3">
      <c r="B20" s="106" t="s">
        <v>111</v>
      </c>
      <c r="C20" s="103" t="s">
        <v>69</v>
      </c>
      <c r="D20" s="104"/>
      <c r="E20" s="105"/>
      <c r="F20" s="103" t="s">
        <v>95</v>
      </c>
      <c r="G20" s="104"/>
      <c r="H20" s="104"/>
      <c r="I20" s="104"/>
      <c r="J20" s="104"/>
      <c r="K20" s="104"/>
      <c r="L20" s="104"/>
      <c r="M20" s="105"/>
      <c r="N20" s="63" t="s">
        <v>87</v>
      </c>
      <c r="O20" s="63" t="s">
        <v>86</v>
      </c>
    </row>
    <row r="21" spans="2:15" ht="23.25" customHeight="1" x14ac:dyDescent="0.25">
      <c r="B21" s="108"/>
      <c r="C21" s="56" t="s">
        <v>70</v>
      </c>
      <c r="D21" s="55" t="s">
        <v>71</v>
      </c>
      <c r="E21" s="55" t="s">
        <v>74</v>
      </c>
      <c r="F21" s="106" t="s">
        <v>75</v>
      </c>
      <c r="G21" s="106" t="s">
        <v>76</v>
      </c>
      <c r="H21" s="56" t="s">
        <v>82</v>
      </c>
      <c r="I21" s="56" t="s">
        <v>81</v>
      </c>
      <c r="J21" s="56" t="s">
        <v>80</v>
      </c>
      <c r="K21" s="56" t="s">
        <v>73</v>
      </c>
      <c r="L21" s="56" t="s">
        <v>77</v>
      </c>
      <c r="M21" s="64" t="s">
        <v>88</v>
      </c>
      <c r="N21" s="50" t="s">
        <v>78</v>
      </c>
      <c r="O21" s="50" t="s">
        <v>79</v>
      </c>
    </row>
    <row r="22" spans="2:15" ht="25.5" customHeight="1" thickBot="1" x14ac:dyDescent="0.3">
      <c r="B22" s="107"/>
      <c r="C22" s="51" t="s">
        <v>78</v>
      </c>
      <c r="D22" s="51" t="s">
        <v>78</v>
      </c>
      <c r="E22" s="51" t="s">
        <v>78</v>
      </c>
      <c r="F22" s="107"/>
      <c r="G22" s="107"/>
      <c r="H22" s="51" t="s">
        <v>78</v>
      </c>
      <c r="I22" s="51" t="s">
        <v>78</v>
      </c>
      <c r="J22" s="51" t="s">
        <v>78</v>
      </c>
      <c r="K22" s="51" t="s">
        <v>78</v>
      </c>
      <c r="L22" s="51" t="s">
        <v>78</v>
      </c>
      <c r="M22" s="51" t="s">
        <v>78</v>
      </c>
      <c r="N22" s="52"/>
      <c r="O22" s="52"/>
    </row>
    <row r="23" spans="2:15" ht="20.25" customHeight="1" thickBot="1" x14ac:dyDescent="0.3">
      <c r="B23" s="53" t="s">
        <v>72</v>
      </c>
      <c r="C23" s="51">
        <v>280</v>
      </c>
      <c r="D23" s="51">
        <v>280</v>
      </c>
      <c r="E23" s="51">
        <v>16</v>
      </c>
      <c r="F23" s="51">
        <v>2</v>
      </c>
      <c r="G23" s="51">
        <v>2</v>
      </c>
      <c r="H23" s="51">
        <v>80</v>
      </c>
      <c r="I23" s="51">
        <v>80</v>
      </c>
      <c r="J23" s="51">
        <v>10</v>
      </c>
      <c r="K23" s="51">
        <v>114</v>
      </c>
      <c r="L23" s="51">
        <v>40</v>
      </c>
      <c r="M23" s="51">
        <v>10</v>
      </c>
      <c r="N23" s="51">
        <v>200</v>
      </c>
      <c r="O23" s="51">
        <v>140</v>
      </c>
    </row>
    <row r="24" spans="2:15" x14ac:dyDescent="0.25">
      <c r="F24" s="54"/>
      <c r="G24" s="54"/>
    </row>
    <row r="25" spans="2:15" ht="15.75" x14ac:dyDescent="0.3">
      <c r="B25" s="48" t="s">
        <v>118</v>
      </c>
      <c r="G25" s="57"/>
      <c r="H25" s="54"/>
    </row>
    <row r="26" spans="2:15" x14ac:dyDescent="0.25">
      <c r="B26" s="48" t="s">
        <v>119</v>
      </c>
      <c r="G26" s="57"/>
      <c r="H26" s="54"/>
    </row>
    <row r="27" spans="2:15" x14ac:dyDescent="0.25">
      <c r="B27" s="48"/>
      <c r="G27" s="57"/>
      <c r="H27" s="54"/>
    </row>
    <row r="28" spans="2:15" x14ac:dyDescent="0.25">
      <c r="B28" s="78" t="s">
        <v>130</v>
      </c>
      <c r="J28" s="1"/>
      <c r="L28" s="2"/>
    </row>
    <row r="29" spans="2:15" ht="15.75" customHeight="1" x14ac:dyDescent="0.25">
      <c r="B29" s="40" t="s">
        <v>84</v>
      </c>
      <c r="J29" s="1"/>
      <c r="L29" s="2"/>
    </row>
    <row r="30" spans="2:15" ht="27" customHeight="1" x14ac:dyDescent="0.25">
      <c r="B30" s="102" t="s">
        <v>123</v>
      </c>
      <c r="C30" s="102"/>
      <c r="D30" s="102"/>
      <c r="E30" s="102"/>
      <c r="F30" s="102"/>
      <c r="G30" s="102"/>
      <c r="H30" s="102"/>
      <c r="K30" s="2"/>
      <c r="L30" s="2"/>
    </row>
    <row r="31" spans="2:15" ht="27.75" customHeight="1" x14ac:dyDescent="0.25">
      <c r="B31" s="102" t="s">
        <v>124</v>
      </c>
      <c r="C31" s="102"/>
      <c r="D31" s="102"/>
      <c r="E31" s="102"/>
      <c r="F31" s="102"/>
      <c r="G31" s="102"/>
      <c r="H31" s="102"/>
      <c r="L31" s="2"/>
    </row>
    <row r="32" spans="2:15" x14ac:dyDescent="0.25">
      <c r="B32" s="48"/>
      <c r="G32" s="57"/>
      <c r="H32" s="54"/>
    </row>
    <row r="33" spans="2:26" x14ac:dyDescent="0.25">
      <c r="B33" s="40" t="s">
        <v>120</v>
      </c>
    </row>
    <row r="34" spans="2:26" ht="28.5" customHeight="1" x14ac:dyDescent="0.25">
      <c r="B34" s="100" t="s">
        <v>131</v>
      </c>
      <c r="C34" s="100"/>
      <c r="D34" s="100"/>
      <c r="E34" s="100"/>
      <c r="F34" s="100"/>
      <c r="G34" s="100"/>
      <c r="H34" s="100"/>
    </row>
    <row r="35" spans="2:26" ht="28.5" customHeight="1" x14ac:dyDescent="0.25">
      <c r="B35" s="102" t="s">
        <v>105</v>
      </c>
      <c r="C35" s="102"/>
      <c r="D35" s="102"/>
      <c r="E35" s="102"/>
      <c r="F35" s="102"/>
      <c r="G35" s="102"/>
      <c r="H35" s="102"/>
    </row>
    <row r="36" spans="2:26" ht="30.75" customHeight="1" x14ac:dyDescent="0.25">
      <c r="B36" s="101" t="s">
        <v>132</v>
      </c>
      <c r="C36" s="101"/>
      <c r="D36" s="101"/>
      <c r="E36" s="101"/>
      <c r="F36" s="101"/>
      <c r="G36" s="101"/>
      <c r="H36" s="101"/>
      <c r="K36" s="1"/>
      <c r="L36" s="1"/>
    </row>
    <row r="37" spans="2:26" ht="27.75" customHeight="1" x14ac:dyDescent="0.25">
      <c r="B37" s="133" t="s">
        <v>122</v>
      </c>
      <c r="C37" s="133"/>
      <c r="D37" s="133"/>
      <c r="E37" s="133"/>
      <c r="F37" s="133"/>
      <c r="G37" s="133"/>
      <c r="H37" s="133"/>
      <c r="K37" s="1"/>
      <c r="L37" s="1"/>
    </row>
    <row r="38" spans="2:26" ht="18.75" x14ac:dyDescent="0.25">
      <c r="B38" s="77" t="s">
        <v>121</v>
      </c>
      <c r="C38" s="65"/>
      <c r="D38" s="65"/>
      <c r="E38" s="65"/>
      <c r="F38" s="65"/>
      <c r="G38" s="65"/>
      <c r="H38" s="65"/>
      <c r="J38" s="47"/>
      <c r="K38" s="47"/>
      <c r="L38" s="1"/>
    </row>
    <row r="39" spans="2:26" x14ac:dyDescent="0.25">
      <c r="B39" s="77"/>
      <c r="C39" s="65"/>
      <c r="D39" s="79" t="s">
        <v>126</v>
      </c>
      <c r="E39" s="65"/>
      <c r="G39" s="65"/>
      <c r="H39" s="65"/>
      <c r="J39" s="47"/>
      <c r="K39" s="47"/>
      <c r="L39" s="1"/>
    </row>
    <row r="40" spans="2:26" ht="15.75" x14ac:dyDescent="0.25">
      <c r="C40" s="47"/>
      <c r="D40" s="47"/>
      <c r="E40" s="47"/>
      <c r="F40" s="60" t="s">
        <v>125</v>
      </c>
      <c r="G40" s="46">
        <f>MAX($C$23/30,10)</f>
        <v>10</v>
      </c>
      <c r="H40" s="47" t="s">
        <v>85</v>
      </c>
      <c r="J40" s="1"/>
      <c r="L40" s="1"/>
    </row>
    <row r="42" spans="2:26" x14ac:dyDescent="0.25">
      <c r="B42" s="81" t="s">
        <v>139</v>
      </c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61"/>
      <c r="O42" s="61"/>
      <c r="P42" s="61"/>
      <c r="R42" s="61"/>
      <c r="S42" s="61"/>
      <c r="T42" s="61"/>
    </row>
    <row r="43" spans="2:26" x14ac:dyDescent="0.25">
      <c r="B43" s="59" t="str">
        <f>CONCATENATE("Таблица 1. Предельно допустимые нагрузки на закладную деталь PQ001 при D1=",C45,"мм и D2=",F45,"мм. (Статические нагрузки)")</f>
        <v>Таблица 1. Предельно допустимые нагрузки на закладную деталь PQ001 при D1=100мм и D2=100мм. (Статические нагрузки)</v>
      </c>
      <c r="N43" s="61"/>
      <c r="O43" s="61"/>
      <c r="P43" s="61"/>
      <c r="R43" s="61"/>
      <c r="S43" s="61"/>
      <c r="T43" s="61"/>
    </row>
    <row r="44" spans="2:26" x14ac:dyDescent="0.25">
      <c r="B44" s="57"/>
      <c r="C44" s="54"/>
      <c r="D44" s="61"/>
      <c r="E44" s="57"/>
      <c r="F44" s="54"/>
      <c r="G44" s="61"/>
      <c r="H44" s="61"/>
      <c r="I44" s="61"/>
      <c r="J44" s="80" t="s">
        <v>133</v>
      </c>
      <c r="K44" s="61"/>
      <c r="L44" s="61"/>
      <c r="M44" s="61"/>
      <c r="N44" s="61"/>
      <c r="O44" s="61"/>
      <c r="P44" s="61"/>
      <c r="R44" s="61"/>
      <c r="S44" s="61"/>
      <c r="T44" s="61"/>
    </row>
    <row r="45" spans="2:26" x14ac:dyDescent="0.25">
      <c r="B45" s="11" t="s">
        <v>128</v>
      </c>
      <c r="C45" s="45">
        <v>100</v>
      </c>
      <c r="D45" s="61"/>
      <c r="E45" s="11" t="s">
        <v>127</v>
      </c>
      <c r="F45" s="45">
        <v>100</v>
      </c>
      <c r="G45" s="61"/>
      <c r="H45" s="61"/>
      <c r="I45" s="61"/>
      <c r="J45" s="11" t="s">
        <v>83</v>
      </c>
      <c r="K45" s="112" t="s">
        <v>129</v>
      </c>
      <c r="L45" s="113"/>
      <c r="M45" s="113"/>
      <c r="N45" s="113"/>
      <c r="O45" s="114"/>
      <c r="P45" s="61"/>
      <c r="R45" s="61"/>
      <c r="S45" s="61"/>
      <c r="T45" s="61"/>
    </row>
    <row r="46" spans="2:26" ht="15.75" thickBot="1" x14ac:dyDescent="0.3"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</row>
    <row r="47" spans="2:26" ht="15.75" customHeight="1" x14ac:dyDescent="0.25">
      <c r="B47" s="118"/>
      <c r="C47" s="124" t="s">
        <v>90</v>
      </c>
      <c r="D47" s="126" t="s">
        <v>91</v>
      </c>
      <c r="E47" s="128" t="s">
        <v>96</v>
      </c>
      <c r="F47" s="130" t="s">
        <v>94</v>
      </c>
      <c r="G47" s="134" t="s">
        <v>134</v>
      </c>
      <c r="H47" s="134" t="s">
        <v>135</v>
      </c>
      <c r="I47" s="134" t="s">
        <v>136</v>
      </c>
      <c r="J47" s="134" t="s">
        <v>137</v>
      </c>
      <c r="K47" s="109" t="s">
        <v>138</v>
      </c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</row>
    <row r="48" spans="2:26" x14ac:dyDescent="0.25">
      <c r="B48" s="119"/>
      <c r="C48" s="125"/>
      <c r="D48" s="127"/>
      <c r="E48" s="129"/>
      <c r="F48" s="131"/>
      <c r="G48" s="135"/>
      <c r="H48" s="135"/>
      <c r="I48" s="135"/>
      <c r="J48" s="135"/>
      <c r="K48" s="110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</row>
    <row r="49" spans="2:26" x14ac:dyDescent="0.25">
      <c r="B49" s="119"/>
      <c r="C49" s="125"/>
      <c r="D49" s="127"/>
      <c r="E49" s="129"/>
      <c r="F49" s="131"/>
      <c r="G49" s="135"/>
      <c r="H49" s="135"/>
      <c r="I49" s="135"/>
      <c r="J49" s="135"/>
      <c r="K49" s="110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</row>
    <row r="50" spans="2:26" x14ac:dyDescent="0.25">
      <c r="B50" s="119"/>
      <c r="C50" s="125"/>
      <c r="D50" s="127"/>
      <c r="E50" s="129"/>
      <c r="F50" s="131"/>
      <c r="G50" s="135"/>
      <c r="H50" s="135"/>
      <c r="I50" s="135"/>
      <c r="J50" s="135"/>
      <c r="K50" s="110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</row>
    <row r="51" spans="2:26" x14ac:dyDescent="0.25">
      <c r="B51" s="119"/>
      <c r="C51" s="125"/>
      <c r="D51" s="127"/>
      <c r="E51" s="129"/>
      <c r="F51" s="131"/>
      <c r="G51" s="135"/>
      <c r="H51" s="135"/>
      <c r="I51" s="135"/>
      <c r="J51" s="135"/>
      <c r="K51" s="110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</row>
    <row r="52" spans="2:26" x14ac:dyDescent="0.25">
      <c r="B52" s="119"/>
      <c r="C52" s="125"/>
      <c r="D52" s="127"/>
      <c r="E52" s="129"/>
      <c r="F52" s="131"/>
      <c r="G52" s="135"/>
      <c r="H52" s="135"/>
      <c r="I52" s="135"/>
      <c r="J52" s="135"/>
      <c r="K52" s="110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</row>
    <row r="53" spans="2:26" ht="15.75" thickBot="1" x14ac:dyDescent="0.3">
      <c r="B53" s="120"/>
      <c r="C53" s="72" t="s">
        <v>89</v>
      </c>
      <c r="D53" s="66" t="s">
        <v>93</v>
      </c>
      <c r="E53" s="73" t="s">
        <v>92</v>
      </c>
      <c r="F53" s="132"/>
      <c r="G53" s="136"/>
      <c r="H53" s="136"/>
      <c r="I53" s="136"/>
      <c r="J53" s="136"/>
      <c r="K53" s="11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</row>
    <row r="54" spans="2:26" x14ac:dyDescent="0.25">
      <c r="B54" s="115" t="s">
        <v>97</v>
      </c>
      <c r="C54" s="69">
        <v>0</v>
      </c>
      <c r="D54" s="67">
        <v>3.5960000000000001</v>
      </c>
      <c r="E54" s="85">
        <v>0</v>
      </c>
      <c r="F54" s="86">
        <v>1</v>
      </c>
      <c r="G54" s="67">
        <v>0.65800000000000003</v>
      </c>
      <c r="H54" s="67">
        <v>0.59199999999999997</v>
      </c>
      <c r="I54" s="67">
        <v>1</v>
      </c>
      <c r="J54" s="67">
        <v>0</v>
      </c>
      <c r="K54" s="87">
        <v>0</v>
      </c>
      <c r="O54" s="61"/>
      <c r="P54" s="61"/>
      <c r="Q54" s="61"/>
      <c r="R54" s="61"/>
      <c r="S54" s="61"/>
      <c r="T54" s="61"/>
      <c r="U54" s="61"/>
      <c r="V54" s="61"/>
    </row>
    <row r="55" spans="2:26" x14ac:dyDescent="0.25">
      <c r="B55" s="116"/>
      <c r="C55" s="70">
        <v>27.930000000000017</v>
      </c>
      <c r="D55" s="43">
        <v>3.5960000000000001</v>
      </c>
      <c r="E55" s="88">
        <v>0</v>
      </c>
      <c r="F55" s="89">
        <v>1</v>
      </c>
      <c r="G55" s="43">
        <v>1</v>
      </c>
      <c r="H55" s="43">
        <v>0.60399999999999998</v>
      </c>
      <c r="I55" s="43">
        <v>1</v>
      </c>
      <c r="J55" s="43">
        <v>0</v>
      </c>
      <c r="K55" s="90">
        <v>0.56200000000000006</v>
      </c>
      <c r="O55" s="61"/>
      <c r="P55" s="61"/>
      <c r="Q55" s="61"/>
      <c r="R55" s="61"/>
      <c r="S55" s="61"/>
      <c r="T55" s="61"/>
      <c r="U55" s="61"/>
      <c r="V55" s="61"/>
    </row>
    <row r="56" spans="2:26" x14ac:dyDescent="0.25">
      <c r="B56" s="116"/>
      <c r="C56" s="70">
        <v>30</v>
      </c>
      <c r="D56" s="43">
        <v>3.077</v>
      </c>
      <c r="E56" s="88">
        <v>0</v>
      </c>
      <c r="F56" s="89">
        <v>1</v>
      </c>
      <c r="G56" s="43">
        <v>1</v>
      </c>
      <c r="H56" s="43">
        <v>0.52300000000000002</v>
      </c>
      <c r="I56" s="43">
        <v>0.85599999999999998</v>
      </c>
      <c r="J56" s="43">
        <v>0</v>
      </c>
      <c r="K56" s="90">
        <v>0.60399999999999998</v>
      </c>
      <c r="O56" s="61"/>
      <c r="P56" s="61"/>
      <c r="Q56" s="61"/>
      <c r="R56" s="61"/>
      <c r="S56" s="61"/>
      <c r="T56" s="61"/>
      <c r="U56" s="61"/>
      <c r="V56" s="61"/>
    </row>
    <row r="57" spans="2:26" x14ac:dyDescent="0.25">
      <c r="B57" s="116"/>
      <c r="C57" s="70">
        <v>35</v>
      </c>
      <c r="D57" s="43">
        <v>1.8230000000000002</v>
      </c>
      <c r="E57" s="88">
        <v>0</v>
      </c>
      <c r="F57" s="89">
        <v>1</v>
      </c>
      <c r="G57" s="43">
        <v>1</v>
      </c>
      <c r="H57" s="43">
        <v>0.32600000000000001</v>
      </c>
      <c r="I57" s="43">
        <v>0.50700000000000001</v>
      </c>
      <c r="J57" s="43">
        <v>0</v>
      </c>
      <c r="K57" s="90">
        <v>0.70499999999999996</v>
      </c>
      <c r="O57" s="61"/>
      <c r="P57" s="61"/>
      <c r="Q57" s="61"/>
      <c r="R57" s="61"/>
      <c r="S57" s="61"/>
      <c r="T57" s="61"/>
      <c r="U57" s="61"/>
      <c r="V57" s="61"/>
    </row>
    <row r="58" spans="2:26" x14ac:dyDescent="0.25">
      <c r="B58" s="116"/>
      <c r="C58" s="70">
        <v>40</v>
      </c>
      <c r="D58" s="43">
        <v>0.56799999999999995</v>
      </c>
      <c r="E58" s="88">
        <v>0</v>
      </c>
      <c r="F58" s="89">
        <v>1</v>
      </c>
      <c r="G58" s="43">
        <v>1</v>
      </c>
      <c r="H58" s="43">
        <v>0.13300000000000001</v>
      </c>
      <c r="I58" s="43">
        <v>0.158</v>
      </c>
      <c r="J58" s="43">
        <v>0</v>
      </c>
      <c r="K58" s="90">
        <v>0.80500000000000005</v>
      </c>
      <c r="O58" s="61"/>
      <c r="P58" s="61"/>
      <c r="Q58" s="61"/>
      <c r="R58" s="61"/>
      <c r="S58" s="61"/>
      <c r="T58" s="61"/>
      <c r="U58" s="61"/>
      <c r="V58" s="61"/>
    </row>
    <row r="59" spans="2:26" x14ac:dyDescent="0.25">
      <c r="B59" s="116"/>
      <c r="C59" s="70">
        <v>40.600000000000009</v>
      </c>
      <c r="D59" s="43">
        <v>0.40600000000000008</v>
      </c>
      <c r="E59" s="88">
        <v>0</v>
      </c>
      <c r="F59" s="89">
        <v>0.999</v>
      </c>
      <c r="G59" s="43">
        <v>0.999</v>
      </c>
      <c r="H59" s="43">
        <v>0.109</v>
      </c>
      <c r="I59" s="43">
        <v>0.113</v>
      </c>
      <c r="J59" s="43">
        <v>0</v>
      </c>
      <c r="K59" s="90">
        <v>0.81699999999999995</v>
      </c>
      <c r="O59" s="61"/>
      <c r="P59" s="61"/>
      <c r="Q59" s="61"/>
      <c r="R59" s="61"/>
      <c r="S59" s="61"/>
      <c r="T59" s="61"/>
      <c r="U59" s="61"/>
      <c r="V59" s="61"/>
    </row>
    <row r="60" spans="2:26" x14ac:dyDescent="0.25">
      <c r="B60" s="116"/>
      <c r="C60" s="70">
        <v>40.600000000000009</v>
      </c>
      <c r="D60" s="43">
        <v>0</v>
      </c>
      <c r="E60" s="88">
        <v>0</v>
      </c>
      <c r="F60" s="89">
        <v>0.96099999999999997</v>
      </c>
      <c r="G60" s="43">
        <v>0.96099999999999997</v>
      </c>
      <c r="H60" s="43">
        <v>3.9E-2</v>
      </c>
      <c r="I60" s="43">
        <v>0</v>
      </c>
      <c r="J60" s="43">
        <v>0</v>
      </c>
      <c r="K60" s="90">
        <v>0.81699999999999995</v>
      </c>
      <c r="O60" s="61"/>
      <c r="P60" s="61"/>
      <c r="Q60" s="61"/>
      <c r="R60" s="61"/>
      <c r="S60" s="61"/>
      <c r="T60" s="61"/>
      <c r="U60" s="61"/>
      <c r="V60" s="61"/>
    </row>
    <row r="61" spans="2:26" x14ac:dyDescent="0.25">
      <c r="B61" s="116"/>
      <c r="C61" s="70"/>
      <c r="D61" s="43"/>
      <c r="E61" s="88"/>
      <c r="F61" s="89"/>
      <c r="G61" s="43"/>
      <c r="H61" s="43"/>
      <c r="I61" s="43"/>
      <c r="J61" s="43"/>
      <c r="K61" s="90"/>
      <c r="O61" s="61"/>
      <c r="P61" s="61"/>
      <c r="Q61" s="61"/>
      <c r="R61" s="61"/>
      <c r="S61" s="61"/>
      <c r="T61" s="61"/>
      <c r="U61" s="61"/>
      <c r="V61" s="61"/>
    </row>
    <row r="62" spans="2:26" x14ac:dyDescent="0.25">
      <c r="B62" s="116"/>
      <c r="C62" s="70"/>
      <c r="D62" s="43"/>
      <c r="E62" s="88"/>
      <c r="F62" s="89"/>
      <c r="G62" s="43"/>
      <c r="H62" s="43"/>
      <c r="I62" s="43"/>
      <c r="J62" s="43"/>
      <c r="K62" s="90"/>
      <c r="O62" s="61"/>
      <c r="P62" s="61"/>
      <c r="Q62" s="61"/>
      <c r="R62" s="61"/>
      <c r="S62" s="61"/>
      <c r="T62" s="61"/>
      <c r="U62" s="61"/>
      <c r="V62" s="61"/>
    </row>
    <row r="63" spans="2:26" x14ac:dyDescent="0.25">
      <c r="B63" s="116"/>
      <c r="C63" s="70"/>
      <c r="D63" s="43"/>
      <c r="E63" s="88"/>
      <c r="F63" s="89"/>
      <c r="G63" s="43"/>
      <c r="H63" s="43"/>
      <c r="I63" s="43"/>
      <c r="J63" s="43"/>
      <c r="K63" s="90"/>
      <c r="O63" s="61"/>
      <c r="P63" s="61"/>
      <c r="Q63" s="61"/>
      <c r="R63" s="61"/>
      <c r="S63" s="61"/>
      <c r="T63" s="61"/>
      <c r="U63" s="61"/>
      <c r="V63" s="61"/>
    </row>
    <row r="64" spans="2:26" x14ac:dyDescent="0.25">
      <c r="B64" s="116"/>
      <c r="C64" s="70"/>
      <c r="D64" s="43"/>
      <c r="E64" s="88"/>
      <c r="F64" s="89"/>
      <c r="G64" s="43"/>
      <c r="H64" s="43"/>
      <c r="I64" s="43"/>
      <c r="J64" s="43"/>
      <c r="K64" s="90"/>
      <c r="O64" s="61"/>
      <c r="P64" s="61"/>
      <c r="Q64" s="61"/>
      <c r="R64" s="61"/>
      <c r="S64" s="61"/>
      <c r="T64" s="61"/>
      <c r="U64" s="61"/>
      <c r="V64" s="61"/>
    </row>
    <row r="65" spans="2:22" x14ac:dyDescent="0.25">
      <c r="B65" s="116"/>
      <c r="C65" s="70"/>
      <c r="D65" s="43"/>
      <c r="E65" s="88"/>
      <c r="F65" s="89"/>
      <c r="G65" s="43"/>
      <c r="H65" s="43"/>
      <c r="I65" s="43"/>
      <c r="J65" s="43"/>
      <c r="K65" s="90"/>
      <c r="O65" s="61"/>
      <c r="P65" s="61"/>
      <c r="Q65" s="61"/>
      <c r="R65" s="61"/>
      <c r="S65" s="61"/>
      <c r="T65" s="61"/>
      <c r="U65" s="61"/>
      <c r="V65" s="61"/>
    </row>
    <row r="66" spans="2:22" x14ac:dyDescent="0.25">
      <c r="B66" s="116"/>
      <c r="C66" s="70"/>
      <c r="D66" s="43"/>
      <c r="E66" s="88"/>
      <c r="F66" s="89"/>
      <c r="G66" s="43"/>
      <c r="H66" s="43"/>
      <c r="I66" s="43"/>
      <c r="J66" s="43"/>
      <c r="K66" s="90"/>
      <c r="O66" s="61"/>
      <c r="P66" s="61"/>
      <c r="Q66" s="61"/>
      <c r="R66" s="61"/>
      <c r="S66" s="61"/>
      <c r="T66" s="61"/>
      <c r="U66" s="61"/>
      <c r="V66" s="61"/>
    </row>
    <row r="67" spans="2:22" x14ac:dyDescent="0.25">
      <c r="B67" s="116"/>
      <c r="C67" s="70"/>
      <c r="D67" s="43"/>
      <c r="E67" s="88"/>
      <c r="F67" s="89"/>
      <c r="G67" s="43"/>
      <c r="H67" s="43"/>
      <c r="I67" s="43"/>
      <c r="J67" s="43"/>
      <c r="K67" s="90"/>
      <c r="O67" s="61"/>
      <c r="P67" s="61"/>
      <c r="Q67" s="61"/>
      <c r="R67" s="61"/>
      <c r="S67" s="61"/>
      <c r="T67" s="61"/>
      <c r="U67" s="61"/>
      <c r="V67" s="61"/>
    </row>
    <row r="68" spans="2:22" x14ac:dyDescent="0.25">
      <c r="B68" s="116"/>
      <c r="C68" s="70"/>
      <c r="D68" s="43"/>
      <c r="E68" s="88"/>
      <c r="F68" s="89"/>
      <c r="G68" s="43"/>
      <c r="H68" s="43"/>
      <c r="I68" s="43"/>
      <c r="J68" s="43"/>
      <c r="K68" s="90"/>
      <c r="O68" s="61"/>
      <c r="P68" s="61"/>
      <c r="Q68" s="61"/>
      <c r="R68" s="61"/>
      <c r="S68" s="61"/>
      <c r="T68" s="61"/>
      <c r="U68" s="61"/>
      <c r="V68" s="61"/>
    </row>
    <row r="69" spans="2:22" x14ac:dyDescent="0.25">
      <c r="B69" s="116"/>
      <c r="C69" s="70"/>
      <c r="D69" s="43"/>
      <c r="E69" s="88"/>
      <c r="F69" s="89"/>
      <c r="G69" s="43"/>
      <c r="H69" s="43"/>
      <c r="I69" s="43"/>
      <c r="J69" s="43"/>
      <c r="K69" s="90"/>
      <c r="O69" s="61"/>
      <c r="P69" s="61"/>
      <c r="Q69" s="61"/>
      <c r="R69" s="61"/>
      <c r="S69" s="61"/>
      <c r="T69" s="61"/>
      <c r="U69" s="61"/>
      <c r="V69" s="61"/>
    </row>
    <row r="70" spans="2:22" x14ac:dyDescent="0.25">
      <c r="B70" s="116"/>
      <c r="C70" s="70"/>
      <c r="D70" s="43"/>
      <c r="E70" s="88"/>
      <c r="F70" s="89"/>
      <c r="G70" s="43"/>
      <c r="H70" s="43"/>
      <c r="I70" s="43"/>
      <c r="J70" s="43"/>
      <c r="K70" s="90"/>
      <c r="O70" s="61"/>
      <c r="P70" s="61"/>
      <c r="Q70" s="61"/>
      <c r="R70" s="61"/>
      <c r="S70" s="61"/>
      <c r="T70" s="61"/>
      <c r="U70" s="61"/>
      <c r="V70" s="61"/>
    </row>
    <row r="71" spans="2:22" x14ac:dyDescent="0.25">
      <c r="B71" s="116"/>
      <c r="C71" s="70"/>
      <c r="D71" s="43"/>
      <c r="E71" s="88"/>
      <c r="F71" s="89"/>
      <c r="G71" s="43"/>
      <c r="H71" s="43"/>
      <c r="I71" s="43"/>
      <c r="J71" s="43"/>
      <c r="K71" s="90"/>
    </row>
    <row r="72" spans="2:22" x14ac:dyDescent="0.25">
      <c r="B72" s="116"/>
      <c r="C72" s="70"/>
      <c r="D72" s="43"/>
      <c r="E72" s="88"/>
      <c r="F72" s="89"/>
      <c r="G72" s="43"/>
      <c r="H72" s="43"/>
      <c r="I72" s="43"/>
      <c r="J72" s="43"/>
      <c r="K72" s="90"/>
    </row>
    <row r="73" spans="2:22" x14ac:dyDescent="0.25">
      <c r="B73" s="116"/>
      <c r="C73" s="70"/>
      <c r="D73" s="43"/>
      <c r="E73" s="88"/>
      <c r="F73" s="89"/>
      <c r="G73" s="43"/>
      <c r="H73" s="43"/>
      <c r="I73" s="43"/>
      <c r="J73" s="43"/>
      <c r="K73" s="90"/>
    </row>
    <row r="74" spans="2:22" x14ac:dyDescent="0.25">
      <c r="B74" s="116"/>
      <c r="C74" s="70"/>
      <c r="D74" s="43"/>
      <c r="E74" s="88"/>
      <c r="F74" s="89"/>
      <c r="G74" s="43"/>
      <c r="H74" s="43"/>
      <c r="I74" s="43"/>
      <c r="J74" s="43"/>
      <c r="K74" s="90"/>
    </row>
    <row r="75" spans="2:22" ht="15.75" thickBot="1" x14ac:dyDescent="0.3">
      <c r="B75" s="117"/>
      <c r="C75" s="71"/>
      <c r="D75" s="68"/>
      <c r="E75" s="91"/>
      <c r="F75" s="92"/>
      <c r="G75" s="68"/>
      <c r="H75" s="68"/>
      <c r="I75" s="68"/>
      <c r="J75" s="68"/>
      <c r="K75" s="93"/>
    </row>
    <row r="76" spans="2:22" ht="15" customHeight="1" x14ac:dyDescent="0.25">
      <c r="B76" s="121" t="s">
        <v>98</v>
      </c>
      <c r="C76" s="69">
        <v>0</v>
      </c>
      <c r="D76" s="67">
        <v>0</v>
      </c>
      <c r="E76" s="85">
        <v>55.75</v>
      </c>
      <c r="F76" s="86">
        <v>0.93899999999999995</v>
      </c>
      <c r="G76" s="67">
        <v>0.40799999999999997</v>
      </c>
      <c r="H76" s="67">
        <v>0.36699999999999999</v>
      </c>
      <c r="I76" s="67">
        <v>0</v>
      </c>
      <c r="J76" s="67">
        <v>0.93899999999999995</v>
      </c>
      <c r="K76" s="87">
        <v>0</v>
      </c>
      <c r="L76" s="83"/>
    </row>
    <row r="77" spans="2:22" x14ac:dyDescent="0.25">
      <c r="B77" s="121"/>
      <c r="C77" s="70">
        <v>0</v>
      </c>
      <c r="D77" s="43">
        <v>0.5576000000000001</v>
      </c>
      <c r="E77" s="88">
        <v>55.750000000000014</v>
      </c>
      <c r="F77" s="89">
        <v>1</v>
      </c>
      <c r="G77" s="43">
        <v>0.51</v>
      </c>
      <c r="H77" s="43">
        <v>0.45900000000000002</v>
      </c>
      <c r="I77" s="43">
        <v>0</v>
      </c>
      <c r="J77" s="43">
        <v>1</v>
      </c>
      <c r="K77" s="90">
        <v>0</v>
      </c>
      <c r="L77" s="83"/>
    </row>
    <row r="78" spans="2:22" x14ac:dyDescent="0.25">
      <c r="B78" s="121"/>
      <c r="C78" s="70">
        <v>0</v>
      </c>
      <c r="D78" s="43">
        <v>0.66500000000000004</v>
      </c>
      <c r="E78" s="88">
        <v>55</v>
      </c>
      <c r="F78" s="89">
        <v>1</v>
      </c>
      <c r="G78" s="43">
        <v>0.52400000000000002</v>
      </c>
      <c r="H78" s="43">
        <v>0.47199999999999998</v>
      </c>
      <c r="I78" s="43">
        <v>0</v>
      </c>
      <c r="J78" s="43">
        <v>1</v>
      </c>
      <c r="K78" s="90">
        <v>0</v>
      </c>
      <c r="L78" s="83"/>
    </row>
    <row r="79" spans="2:22" x14ac:dyDescent="0.25">
      <c r="B79" s="121"/>
      <c r="C79" s="70">
        <v>0</v>
      </c>
      <c r="D79" s="43">
        <v>1.2990000000000002</v>
      </c>
      <c r="E79" s="88">
        <v>50</v>
      </c>
      <c r="F79" s="89">
        <v>1</v>
      </c>
      <c r="G79" s="43">
        <v>0.60399999999999998</v>
      </c>
      <c r="H79" s="43">
        <v>0.54300000000000004</v>
      </c>
      <c r="I79" s="43">
        <v>0</v>
      </c>
      <c r="J79" s="43">
        <v>1</v>
      </c>
      <c r="K79" s="90">
        <v>0</v>
      </c>
      <c r="L79" s="83"/>
      <c r="O79" s="61"/>
      <c r="P79" s="61"/>
      <c r="Q79" s="61"/>
      <c r="R79" s="61"/>
      <c r="S79" s="61"/>
      <c r="T79" s="61"/>
      <c r="U79" s="61"/>
      <c r="V79" s="61"/>
    </row>
    <row r="80" spans="2:22" x14ac:dyDescent="0.25">
      <c r="B80" s="121"/>
      <c r="C80" s="70">
        <v>0</v>
      </c>
      <c r="D80" s="43">
        <v>1.794</v>
      </c>
      <c r="E80" s="88">
        <v>45</v>
      </c>
      <c r="F80" s="89">
        <v>1</v>
      </c>
      <c r="G80" s="43">
        <v>0.65800000000000003</v>
      </c>
      <c r="H80" s="43">
        <v>0.59199999999999997</v>
      </c>
      <c r="I80" s="43">
        <v>0</v>
      </c>
      <c r="J80" s="43">
        <v>1</v>
      </c>
      <c r="K80" s="90">
        <v>0</v>
      </c>
      <c r="L80" s="83"/>
      <c r="O80" s="61"/>
      <c r="P80" s="61"/>
      <c r="Q80" s="61"/>
      <c r="R80" s="61"/>
      <c r="S80" s="61"/>
      <c r="T80" s="61"/>
      <c r="U80" s="61"/>
      <c r="V80" s="61"/>
    </row>
    <row r="81" spans="2:22" x14ac:dyDescent="0.25">
      <c r="B81" s="121"/>
      <c r="C81" s="70">
        <v>0</v>
      </c>
      <c r="D81" s="43">
        <v>1.9960000000000002</v>
      </c>
      <c r="E81" s="88">
        <v>40</v>
      </c>
      <c r="F81" s="89">
        <v>1</v>
      </c>
      <c r="G81" s="43">
        <v>0.65800000000000003</v>
      </c>
      <c r="H81" s="43">
        <v>0.59199999999999997</v>
      </c>
      <c r="I81" s="43">
        <v>1</v>
      </c>
      <c r="J81" s="43">
        <v>0</v>
      </c>
      <c r="K81" s="90">
        <v>0</v>
      </c>
      <c r="L81" s="83"/>
      <c r="O81" s="61"/>
      <c r="P81" s="61"/>
      <c r="Q81" s="61"/>
      <c r="R81" s="61"/>
      <c r="S81" s="61"/>
      <c r="T81" s="61"/>
      <c r="U81" s="61"/>
      <c r="V81" s="61"/>
    </row>
    <row r="82" spans="2:22" x14ac:dyDescent="0.25">
      <c r="B82" s="121"/>
      <c r="C82" s="70">
        <v>0</v>
      </c>
      <c r="D82" s="43">
        <v>2.1960000000000002</v>
      </c>
      <c r="E82" s="88">
        <v>35</v>
      </c>
      <c r="F82" s="89">
        <v>1</v>
      </c>
      <c r="G82" s="43">
        <v>0.65800000000000003</v>
      </c>
      <c r="H82" s="43">
        <v>0.59199999999999997</v>
      </c>
      <c r="I82" s="43">
        <v>1</v>
      </c>
      <c r="J82" s="43">
        <v>0</v>
      </c>
      <c r="K82" s="90">
        <v>0</v>
      </c>
      <c r="L82" s="83"/>
      <c r="O82" s="61"/>
      <c r="P82" s="61"/>
      <c r="Q82" s="61"/>
      <c r="R82" s="61"/>
      <c r="S82" s="61"/>
      <c r="T82" s="61"/>
      <c r="U82" s="61"/>
      <c r="V82" s="61"/>
    </row>
    <row r="83" spans="2:22" x14ac:dyDescent="0.25">
      <c r="B83" s="121"/>
      <c r="C83" s="70">
        <v>0</v>
      </c>
      <c r="D83" s="43">
        <v>2.3959999999999999</v>
      </c>
      <c r="E83" s="88">
        <v>30</v>
      </c>
      <c r="F83" s="89">
        <v>1</v>
      </c>
      <c r="G83" s="43">
        <v>0.65800000000000003</v>
      </c>
      <c r="H83" s="43">
        <v>0.59199999999999997</v>
      </c>
      <c r="I83" s="43">
        <v>1</v>
      </c>
      <c r="J83" s="43">
        <v>0</v>
      </c>
      <c r="K83" s="90">
        <v>0</v>
      </c>
      <c r="L83" s="83"/>
      <c r="O83" s="61"/>
      <c r="P83" s="61"/>
      <c r="Q83" s="61"/>
      <c r="R83" s="61"/>
      <c r="S83" s="61"/>
      <c r="T83" s="61"/>
      <c r="U83" s="61"/>
      <c r="V83" s="61"/>
    </row>
    <row r="84" spans="2:22" x14ac:dyDescent="0.25">
      <c r="B84" s="121"/>
      <c r="C84" s="70">
        <v>0</v>
      </c>
      <c r="D84" s="43">
        <v>2.5960000000000001</v>
      </c>
      <c r="E84" s="88">
        <v>25</v>
      </c>
      <c r="F84" s="89">
        <v>1</v>
      </c>
      <c r="G84" s="43">
        <v>0.65800000000000003</v>
      </c>
      <c r="H84" s="43">
        <v>0.59199999999999997</v>
      </c>
      <c r="I84" s="43">
        <v>1</v>
      </c>
      <c r="J84" s="43">
        <v>0</v>
      </c>
      <c r="K84" s="90">
        <v>0</v>
      </c>
      <c r="L84" s="83"/>
      <c r="O84" s="61"/>
      <c r="P84" s="61"/>
      <c r="Q84" s="61"/>
      <c r="R84" s="61"/>
      <c r="S84" s="61"/>
      <c r="T84" s="61"/>
      <c r="U84" s="61"/>
      <c r="V84" s="61"/>
    </row>
    <row r="85" spans="2:22" x14ac:dyDescent="0.25">
      <c r="B85" s="121"/>
      <c r="C85" s="70">
        <v>0</v>
      </c>
      <c r="D85" s="43">
        <v>2.7960000000000003</v>
      </c>
      <c r="E85" s="88">
        <v>20</v>
      </c>
      <c r="F85" s="89">
        <v>1</v>
      </c>
      <c r="G85" s="43">
        <v>0.65800000000000003</v>
      </c>
      <c r="H85" s="43">
        <v>0.59199999999999997</v>
      </c>
      <c r="I85" s="43">
        <v>1</v>
      </c>
      <c r="J85" s="43">
        <v>0</v>
      </c>
      <c r="K85" s="90">
        <v>0</v>
      </c>
      <c r="L85" s="83"/>
      <c r="O85" s="61"/>
      <c r="P85" s="61"/>
      <c r="Q85" s="61"/>
      <c r="R85" s="61"/>
      <c r="S85" s="61"/>
      <c r="T85" s="61"/>
      <c r="U85" s="61"/>
      <c r="V85" s="61"/>
    </row>
    <row r="86" spans="2:22" x14ac:dyDescent="0.25">
      <c r="B86" s="121"/>
      <c r="C86" s="70">
        <v>0</v>
      </c>
      <c r="D86" s="43">
        <v>2.996</v>
      </c>
      <c r="E86" s="88">
        <v>15</v>
      </c>
      <c r="F86" s="89">
        <v>1</v>
      </c>
      <c r="G86" s="43">
        <v>0.65800000000000003</v>
      </c>
      <c r="H86" s="43">
        <v>0.59199999999999997</v>
      </c>
      <c r="I86" s="43">
        <v>1</v>
      </c>
      <c r="J86" s="43">
        <v>0</v>
      </c>
      <c r="K86" s="90">
        <v>0</v>
      </c>
      <c r="L86" s="83"/>
      <c r="O86" s="61"/>
      <c r="P86" s="61"/>
      <c r="Q86" s="61"/>
      <c r="R86" s="61"/>
      <c r="S86" s="61"/>
      <c r="T86" s="61"/>
      <c r="U86" s="61"/>
      <c r="V86" s="61"/>
    </row>
    <row r="87" spans="2:22" x14ac:dyDescent="0.25">
      <c r="B87" s="121"/>
      <c r="C87" s="70">
        <v>0</v>
      </c>
      <c r="D87" s="43">
        <v>3.1960000000000002</v>
      </c>
      <c r="E87" s="88">
        <v>10</v>
      </c>
      <c r="F87" s="89">
        <v>1</v>
      </c>
      <c r="G87" s="43">
        <v>0.65800000000000003</v>
      </c>
      <c r="H87" s="43">
        <v>0.59199999999999997</v>
      </c>
      <c r="I87" s="43">
        <v>1</v>
      </c>
      <c r="J87" s="43">
        <v>0</v>
      </c>
      <c r="K87" s="90">
        <v>0</v>
      </c>
      <c r="L87" s="83"/>
      <c r="O87" s="61"/>
      <c r="P87" s="61"/>
      <c r="Q87" s="61"/>
      <c r="R87" s="61"/>
      <c r="S87" s="61"/>
      <c r="T87" s="61"/>
      <c r="U87" s="61"/>
      <c r="V87" s="61"/>
    </row>
    <row r="88" spans="2:22" x14ac:dyDescent="0.25">
      <c r="B88" s="121"/>
      <c r="C88" s="70">
        <v>0</v>
      </c>
      <c r="D88" s="43">
        <v>3.3959999999999999</v>
      </c>
      <c r="E88" s="88">
        <v>5</v>
      </c>
      <c r="F88" s="89">
        <v>1</v>
      </c>
      <c r="G88" s="43">
        <v>0.65800000000000003</v>
      </c>
      <c r="H88" s="43">
        <v>0.59199999999999997</v>
      </c>
      <c r="I88" s="43">
        <v>1</v>
      </c>
      <c r="J88" s="43">
        <v>0</v>
      </c>
      <c r="K88" s="90">
        <v>0</v>
      </c>
      <c r="L88" s="83"/>
      <c r="O88" s="61"/>
      <c r="P88" s="61"/>
      <c r="Q88" s="61"/>
      <c r="R88" s="61"/>
      <c r="S88" s="61"/>
      <c r="T88" s="61"/>
      <c r="U88" s="61"/>
      <c r="V88" s="61"/>
    </row>
    <row r="89" spans="2:22" x14ac:dyDescent="0.25">
      <c r="B89" s="121"/>
      <c r="C89" s="70">
        <v>0</v>
      </c>
      <c r="D89" s="43">
        <v>3.5960000000000001</v>
      </c>
      <c r="E89" s="88">
        <v>0</v>
      </c>
      <c r="F89" s="89">
        <v>1</v>
      </c>
      <c r="G89" s="43">
        <v>0.65800000000000003</v>
      </c>
      <c r="H89" s="43">
        <v>0.59199999999999997</v>
      </c>
      <c r="I89" s="43">
        <v>1</v>
      </c>
      <c r="J89" s="43">
        <v>0</v>
      </c>
      <c r="K89" s="90">
        <v>0</v>
      </c>
      <c r="L89" s="83"/>
      <c r="O89" s="61"/>
      <c r="P89" s="61"/>
      <c r="Q89" s="61"/>
      <c r="R89" s="61"/>
      <c r="S89" s="61"/>
      <c r="T89" s="61"/>
      <c r="U89" s="61"/>
      <c r="V89" s="61"/>
    </row>
    <row r="90" spans="2:22" x14ac:dyDescent="0.25">
      <c r="B90" s="121"/>
      <c r="C90" s="70"/>
      <c r="D90" s="43"/>
      <c r="E90" s="88"/>
      <c r="F90" s="89"/>
      <c r="G90" s="43"/>
      <c r="H90" s="43"/>
      <c r="I90" s="43"/>
      <c r="J90" s="43"/>
      <c r="K90" s="90"/>
      <c r="L90" s="83"/>
      <c r="O90" s="61"/>
      <c r="P90" s="61"/>
      <c r="Q90" s="61"/>
      <c r="R90" s="61"/>
      <c r="S90" s="61"/>
      <c r="T90" s="61"/>
      <c r="U90" s="61"/>
      <c r="V90" s="61"/>
    </row>
    <row r="91" spans="2:22" x14ac:dyDescent="0.25">
      <c r="B91" s="121"/>
      <c r="C91" s="70"/>
      <c r="D91" s="43"/>
      <c r="E91" s="88"/>
      <c r="F91" s="89"/>
      <c r="G91" s="43"/>
      <c r="H91" s="43"/>
      <c r="I91" s="43"/>
      <c r="J91" s="43"/>
      <c r="K91" s="90"/>
      <c r="L91" s="83"/>
    </row>
    <row r="92" spans="2:22" x14ac:dyDescent="0.25">
      <c r="B92" s="121"/>
      <c r="C92" s="70"/>
      <c r="D92" s="43"/>
      <c r="E92" s="88"/>
      <c r="F92" s="89"/>
      <c r="G92" s="43"/>
      <c r="H92" s="43"/>
      <c r="I92" s="43"/>
      <c r="J92" s="43"/>
      <c r="K92" s="90"/>
      <c r="L92" s="83"/>
    </row>
    <row r="93" spans="2:22" x14ac:dyDescent="0.25">
      <c r="B93" s="121"/>
      <c r="C93" s="70"/>
      <c r="D93" s="43"/>
      <c r="E93" s="88"/>
      <c r="F93" s="89"/>
      <c r="G93" s="43"/>
      <c r="H93" s="43"/>
      <c r="I93" s="43"/>
      <c r="J93" s="43"/>
      <c r="K93" s="90"/>
      <c r="L93" s="83"/>
    </row>
    <row r="94" spans="2:22" x14ac:dyDescent="0.25">
      <c r="B94" s="121"/>
      <c r="C94" s="70"/>
      <c r="D94" s="43"/>
      <c r="E94" s="88"/>
      <c r="F94" s="89"/>
      <c r="G94" s="43"/>
      <c r="H94" s="43"/>
      <c r="I94" s="43"/>
      <c r="J94" s="43"/>
      <c r="K94" s="90"/>
      <c r="L94" s="83"/>
    </row>
    <row r="95" spans="2:22" x14ac:dyDescent="0.25">
      <c r="B95" s="121"/>
      <c r="C95" s="70"/>
      <c r="D95" s="43"/>
      <c r="E95" s="88"/>
      <c r="F95" s="89"/>
      <c r="G95" s="43"/>
      <c r="H95" s="43"/>
      <c r="I95" s="43"/>
      <c r="J95" s="43"/>
      <c r="K95" s="90"/>
      <c r="L95" s="83"/>
    </row>
    <row r="96" spans="2:22" x14ac:dyDescent="0.25">
      <c r="B96" s="121"/>
      <c r="C96" s="70"/>
      <c r="D96" s="43"/>
      <c r="E96" s="88"/>
      <c r="F96" s="89"/>
      <c r="G96" s="43"/>
      <c r="H96" s="43"/>
      <c r="I96" s="43"/>
      <c r="J96" s="43"/>
      <c r="K96" s="90"/>
      <c r="L96" s="83"/>
    </row>
    <row r="97" spans="2:22" ht="15.75" thickBot="1" x14ac:dyDescent="0.3">
      <c r="B97" s="122"/>
      <c r="C97" s="71"/>
      <c r="D97" s="68"/>
      <c r="E97" s="91"/>
      <c r="F97" s="92"/>
      <c r="G97" s="68"/>
      <c r="H97" s="68"/>
      <c r="I97" s="68"/>
      <c r="J97" s="68"/>
      <c r="K97" s="93"/>
      <c r="L97" s="83"/>
    </row>
    <row r="98" spans="2:22" ht="15" customHeight="1" x14ac:dyDescent="0.25">
      <c r="B98" s="123" t="s">
        <v>103</v>
      </c>
      <c r="C98" s="69">
        <v>0</v>
      </c>
      <c r="D98" s="67">
        <v>0</v>
      </c>
      <c r="E98" s="85">
        <v>55.75</v>
      </c>
      <c r="F98" s="86">
        <v>0.93899999999999995</v>
      </c>
      <c r="G98" s="67">
        <v>0.40799999999999997</v>
      </c>
      <c r="H98" s="67">
        <v>0.36699999999999999</v>
      </c>
      <c r="I98" s="67">
        <v>0</v>
      </c>
      <c r="J98" s="67">
        <v>0.93899999999999995</v>
      </c>
      <c r="K98" s="87">
        <v>0</v>
      </c>
      <c r="L98" s="83"/>
    </row>
    <row r="99" spans="2:22" x14ac:dyDescent="0.25">
      <c r="B99" s="121"/>
      <c r="C99" s="70">
        <v>5</v>
      </c>
      <c r="D99" s="43">
        <v>0.60500000000000009</v>
      </c>
      <c r="E99" s="88">
        <v>55.400000000000006</v>
      </c>
      <c r="F99" s="89">
        <v>1</v>
      </c>
      <c r="G99" s="43">
        <v>0.63500000000000001</v>
      </c>
      <c r="H99" s="43">
        <v>0.47</v>
      </c>
      <c r="I99" s="43">
        <v>0</v>
      </c>
      <c r="J99" s="43">
        <v>1</v>
      </c>
      <c r="K99" s="90">
        <v>0.14099999999999999</v>
      </c>
      <c r="L99" s="83"/>
    </row>
    <row r="100" spans="2:22" x14ac:dyDescent="0.25">
      <c r="B100" s="121"/>
      <c r="C100" s="70">
        <v>10</v>
      </c>
      <c r="D100" s="43">
        <v>0.65200000000000002</v>
      </c>
      <c r="E100" s="88">
        <v>55.1</v>
      </c>
      <c r="F100" s="89">
        <v>1</v>
      </c>
      <c r="G100" s="43">
        <v>0.75900000000000001</v>
      </c>
      <c r="H100" s="43">
        <v>0.48</v>
      </c>
      <c r="I100" s="43">
        <v>0</v>
      </c>
      <c r="J100" s="43">
        <v>1</v>
      </c>
      <c r="K100" s="90">
        <v>0.28199999999999997</v>
      </c>
      <c r="L100" s="83"/>
    </row>
    <row r="101" spans="2:22" x14ac:dyDescent="0.25">
      <c r="B101" s="121"/>
      <c r="C101" s="70">
        <v>15</v>
      </c>
      <c r="D101" s="43">
        <v>0.69800000000000018</v>
      </c>
      <c r="E101" s="88">
        <v>54.70000000000001</v>
      </c>
      <c r="F101" s="89">
        <v>0.999</v>
      </c>
      <c r="G101" s="43">
        <v>0.88300000000000001</v>
      </c>
      <c r="H101" s="43">
        <v>0.48899999999999999</v>
      </c>
      <c r="I101" s="43">
        <v>0</v>
      </c>
      <c r="J101" s="43">
        <v>0.999</v>
      </c>
      <c r="K101" s="90">
        <v>0.42099999999999999</v>
      </c>
      <c r="L101" s="83"/>
    </row>
    <row r="102" spans="2:22" x14ac:dyDescent="0.25">
      <c r="B102" s="121"/>
      <c r="C102" s="70">
        <v>19.700000000000049</v>
      </c>
      <c r="D102" s="43">
        <v>0.74200000000000055</v>
      </c>
      <c r="E102" s="88">
        <v>54.400000000000006</v>
      </c>
      <c r="F102" s="89">
        <v>1</v>
      </c>
      <c r="G102" s="43">
        <v>1</v>
      </c>
      <c r="H102" s="43">
        <v>0.498</v>
      </c>
      <c r="I102" s="43">
        <v>0</v>
      </c>
      <c r="J102" s="43">
        <v>0.999</v>
      </c>
      <c r="K102" s="90">
        <v>0.55200000000000005</v>
      </c>
      <c r="L102" s="83"/>
      <c r="O102" s="61"/>
      <c r="P102" s="61"/>
      <c r="Q102" s="61"/>
      <c r="R102" s="61"/>
      <c r="S102" s="61"/>
      <c r="T102" s="61"/>
      <c r="U102" s="61"/>
      <c r="V102" s="61"/>
    </row>
    <row r="103" spans="2:22" x14ac:dyDescent="0.25">
      <c r="B103" s="121"/>
      <c r="C103" s="70">
        <v>20</v>
      </c>
      <c r="D103" s="43">
        <v>0.7360000000000001</v>
      </c>
      <c r="E103" s="88">
        <v>53.500000000000007</v>
      </c>
      <c r="F103" s="89">
        <v>1</v>
      </c>
      <c r="G103" s="43">
        <v>1</v>
      </c>
      <c r="H103" s="43">
        <v>0.49099999999999999</v>
      </c>
      <c r="I103" s="43">
        <v>0</v>
      </c>
      <c r="J103" s="43">
        <v>0.98299999999999998</v>
      </c>
      <c r="K103" s="90">
        <v>0.55700000000000005</v>
      </c>
      <c r="L103" s="83"/>
      <c r="O103" s="61"/>
      <c r="P103" s="61"/>
      <c r="Q103" s="61"/>
      <c r="R103" s="61"/>
      <c r="S103" s="61"/>
      <c r="T103" s="61"/>
      <c r="U103" s="61"/>
      <c r="V103" s="61"/>
    </row>
    <row r="104" spans="2:22" x14ac:dyDescent="0.25">
      <c r="B104" s="121"/>
      <c r="C104" s="70">
        <v>22.5</v>
      </c>
      <c r="D104" s="43">
        <v>0.69200000000000006</v>
      </c>
      <c r="E104" s="88">
        <v>46.600000000000009</v>
      </c>
      <c r="F104" s="89">
        <v>1</v>
      </c>
      <c r="G104" s="96">
        <v>1</v>
      </c>
      <c r="H104" s="96">
        <v>0.441</v>
      </c>
      <c r="I104" s="96">
        <v>0</v>
      </c>
      <c r="J104" s="96">
        <v>0.86299999999999999</v>
      </c>
      <c r="K104" s="90">
        <v>0.59699999999999998</v>
      </c>
      <c r="L104" s="83"/>
      <c r="O104" s="61"/>
      <c r="P104" s="61"/>
      <c r="Q104" s="61"/>
      <c r="R104" s="61"/>
      <c r="S104" s="61"/>
      <c r="T104" s="61"/>
      <c r="U104" s="61"/>
      <c r="V104" s="61"/>
    </row>
    <row r="105" spans="2:22" x14ac:dyDescent="0.25">
      <c r="B105" s="121"/>
      <c r="C105" s="70">
        <v>25</v>
      </c>
      <c r="D105" s="43">
        <v>0.64700000000000013</v>
      </c>
      <c r="E105" s="88">
        <v>39.600000000000009</v>
      </c>
      <c r="F105" s="89">
        <v>1</v>
      </c>
      <c r="G105" s="96">
        <v>1</v>
      </c>
      <c r="H105" s="96">
        <v>0.39</v>
      </c>
      <c r="I105" s="96">
        <v>0</v>
      </c>
      <c r="J105" s="96">
        <v>0.74099999999999999</v>
      </c>
      <c r="K105" s="90">
        <v>0.63300000000000001</v>
      </c>
      <c r="L105" s="83"/>
      <c r="O105" s="61"/>
      <c r="P105" s="61"/>
      <c r="Q105" s="61"/>
      <c r="R105" s="61"/>
      <c r="S105" s="61"/>
      <c r="T105" s="61"/>
      <c r="U105" s="61"/>
      <c r="V105" s="61"/>
    </row>
    <row r="106" spans="2:22" x14ac:dyDescent="0.25">
      <c r="B106" s="121"/>
      <c r="C106" s="70">
        <v>27.5</v>
      </c>
      <c r="D106" s="43">
        <v>0.60200000000000009</v>
      </c>
      <c r="E106" s="88">
        <v>32.600000000000009</v>
      </c>
      <c r="F106" s="89">
        <v>0.999</v>
      </c>
      <c r="G106" s="96">
        <v>0.999</v>
      </c>
      <c r="H106" s="96">
        <v>0.33900000000000002</v>
      </c>
      <c r="I106" s="96">
        <v>0</v>
      </c>
      <c r="J106" s="96">
        <v>0.61899999999999999</v>
      </c>
      <c r="K106" s="90">
        <v>0.66600000000000004</v>
      </c>
      <c r="L106" s="83"/>
      <c r="O106" s="61"/>
      <c r="P106" s="61"/>
      <c r="Q106" s="61"/>
      <c r="R106" s="61"/>
      <c r="S106" s="61"/>
      <c r="T106" s="61"/>
      <c r="U106" s="61"/>
      <c r="V106" s="61"/>
    </row>
    <row r="107" spans="2:22" x14ac:dyDescent="0.25">
      <c r="B107" s="121"/>
      <c r="C107" s="70">
        <v>30</v>
      </c>
      <c r="D107" s="43">
        <v>0.55800000000000016</v>
      </c>
      <c r="E107" s="88">
        <v>25.70000000000001</v>
      </c>
      <c r="F107" s="89">
        <v>1</v>
      </c>
      <c r="G107" s="96">
        <v>1</v>
      </c>
      <c r="H107" s="96">
        <v>0.28899999999999998</v>
      </c>
      <c r="I107" s="96">
        <v>0</v>
      </c>
      <c r="J107" s="96">
        <v>0.499</v>
      </c>
      <c r="K107" s="90">
        <v>0.69699999999999995</v>
      </c>
      <c r="L107" s="83"/>
      <c r="O107" s="61"/>
      <c r="P107" s="61"/>
      <c r="Q107" s="61"/>
      <c r="R107" s="61"/>
      <c r="S107" s="61"/>
      <c r="T107" s="61"/>
      <c r="U107" s="61"/>
      <c r="V107" s="61"/>
    </row>
    <row r="108" spans="2:22" x14ac:dyDescent="0.25">
      <c r="B108" s="121"/>
      <c r="C108" s="70">
        <v>32.5</v>
      </c>
      <c r="D108" s="43">
        <v>0.51300000000000012</v>
      </c>
      <c r="E108" s="88">
        <v>18.70000000000001</v>
      </c>
      <c r="F108" s="89">
        <v>1</v>
      </c>
      <c r="G108" s="96">
        <v>1</v>
      </c>
      <c r="H108" s="96">
        <v>0.23899999999999999</v>
      </c>
      <c r="I108" s="96">
        <v>0</v>
      </c>
      <c r="J108" s="96">
        <v>0.378</v>
      </c>
      <c r="K108" s="90">
        <v>0.72399999999999998</v>
      </c>
      <c r="L108" s="83"/>
      <c r="O108" s="61"/>
      <c r="P108" s="61"/>
      <c r="Q108" s="61"/>
      <c r="R108" s="61"/>
      <c r="S108" s="61"/>
      <c r="T108" s="61"/>
      <c r="U108" s="61"/>
      <c r="V108" s="61"/>
    </row>
    <row r="109" spans="2:22" x14ac:dyDescent="0.25">
      <c r="B109" s="121"/>
      <c r="C109" s="70">
        <v>35</v>
      </c>
      <c r="D109" s="43">
        <v>0.46799999999999997</v>
      </c>
      <c r="E109" s="88">
        <v>11.699999999999998</v>
      </c>
      <c r="F109" s="89">
        <v>0.999</v>
      </c>
      <c r="G109" s="96">
        <v>0.999</v>
      </c>
      <c r="H109" s="96">
        <v>0.189</v>
      </c>
      <c r="I109" s="96">
        <v>0.26</v>
      </c>
      <c r="J109" s="96">
        <v>0</v>
      </c>
      <c r="K109" s="90">
        <v>0.75</v>
      </c>
      <c r="L109" s="83"/>
      <c r="O109" s="61"/>
      <c r="P109" s="61"/>
      <c r="Q109" s="61"/>
      <c r="R109" s="61"/>
      <c r="S109" s="61"/>
      <c r="T109" s="61"/>
      <c r="U109" s="61"/>
      <c r="V109" s="61"/>
    </row>
    <row r="110" spans="2:22" x14ac:dyDescent="0.25">
      <c r="B110" s="121"/>
      <c r="C110" s="70">
        <v>37.5</v>
      </c>
      <c r="D110" s="43">
        <v>0.441</v>
      </c>
      <c r="E110" s="88">
        <v>6.4999999999999982</v>
      </c>
      <c r="F110" s="89">
        <v>0.999</v>
      </c>
      <c r="G110" s="96">
        <v>0.999</v>
      </c>
      <c r="H110" s="96">
        <v>0.153</v>
      </c>
      <c r="I110" s="96">
        <v>0.19500000000000001</v>
      </c>
      <c r="J110" s="96">
        <v>0</v>
      </c>
      <c r="K110" s="90">
        <v>0.78100000000000003</v>
      </c>
      <c r="L110" s="83"/>
      <c r="O110" s="61"/>
      <c r="P110" s="61"/>
      <c r="Q110" s="61"/>
      <c r="R110" s="61"/>
      <c r="S110" s="61"/>
      <c r="T110" s="61"/>
      <c r="U110" s="61"/>
      <c r="V110" s="61"/>
    </row>
    <row r="111" spans="2:22" x14ac:dyDescent="0.25">
      <c r="B111" s="121"/>
      <c r="C111" s="70">
        <v>40</v>
      </c>
      <c r="D111" s="43">
        <v>0.41400000000000003</v>
      </c>
      <c r="E111" s="88">
        <v>1.3000000000000003</v>
      </c>
      <c r="F111" s="89">
        <v>1</v>
      </c>
      <c r="G111" s="96">
        <v>1</v>
      </c>
      <c r="H111" s="43">
        <v>0.11799999999999999</v>
      </c>
      <c r="I111" s="43">
        <v>0.13</v>
      </c>
      <c r="J111" s="43">
        <v>0</v>
      </c>
      <c r="K111" s="90">
        <v>0.81100000000000005</v>
      </c>
      <c r="L111" s="83"/>
      <c r="O111" s="61"/>
      <c r="P111" s="61"/>
      <c r="Q111" s="61"/>
      <c r="R111" s="61"/>
      <c r="S111" s="61"/>
      <c r="T111" s="61"/>
      <c r="U111" s="61"/>
      <c r="V111" s="61"/>
    </row>
    <row r="112" spans="2:22" x14ac:dyDescent="0.25">
      <c r="B112" s="121"/>
      <c r="C112" s="70">
        <v>40.600000000000009</v>
      </c>
      <c r="D112" s="43">
        <v>0.40600000000000008</v>
      </c>
      <c r="E112" s="88">
        <v>0</v>
      </c>
      <c r="F112" s="89">
        <v>0.999</v>
      </c>
      <c r="G112" s="96">
        <v>0.999</v>
      </c>
      <c r="H112" s="43">
        <v>0.109</v>
      </c>
      <c r="I112" s="43">
        <v>0.113</v>
      </c>
      <c r="J112" s="43">
        <v>0</v>
      </c>
      <c r="K112" s="90">
        <v>0.81699999999999995</v>
      </c>
      <c r="L112" s="83"/>
      <c r="O112" s="61"/>
      <c r="P112" s="61"/>
      <c r="Q112" s="61"/>
      <c r="R112" s="61"/>
      <c r="S112" s="61"/>
      <c r="T112" s="61"/>
      <c r="U112" s="61"/>
      <c r="V112" s="61"/>
    </row>
    <row r="113" spans="2:22" x14ac:dyDescent="0.25">
      <c r="B113" s="121"/>
      <c r="C113" s="70"/>
      <c r="D113" s="43"/>
      <c r="E113" s="88"/>
      <c r="F113" s="89"/>
      <c r="G113" s="96"/>
      <c r="H113" s="43"/>
      <c r="I113" s="43"/>
      <c r="J113" s="43"/>
      <c r="K113" s="90"/>
      <c r="L113" s="83"/>
      <c r="O113" s="61"/>
      <c r="P113" s="61"/>
      <c r="Q113" s="61"/>
      <c r="R113" s="61"/>
      <c r="S113" s="61"/>
      <c r="T113" s="61"/>
      <c r="U113" s="61"/>
      <c r="V113" s="61"/>
    </row>
    <row r="114" spans="2:22" x14ac:dyDescent="0.25">
      <c r="B114" s="121"/>
      <c r="C114" s="70"/>
      <c r="D114" s="43"/>
      <c r="E114" s="88"/>
      <c r="F114" s="89"/>
      <c r="G114" s="43"/>
      <c r="H114" s="43"/>
      <c r="I114" s="43"/>
      <c r="J114" s="43"/>
      <c r="K114" s="90"/>
      <c r="L114" s="83"/>
      <c r="O114" s="61"/>
      <c r="P114" s="61"/>
      <c r="Q114" s="61"/>
      <c r="R114" s="61"/>
      <c r="S114" s="61"/>
      <c r="T114" s="61"/>
      <c r="U114" s="61"/>
      <c r="V114" s="61"/>
    </row>
    <row r="115" spans="2:22" x14ac:dyDescent="0.25">
      <c r="B115" s="121"/>
      <c r="C115" s="70"/>
      <c r="D115" s="43"/>
      <c r="E115" s="88"/>
      <c r="F115" s="89"/>
      <c r="G115" s="43"/>
      <c r="H115" s="43"/>
      <c r="I115" s="43"/>
      <c r="J115" s="43"/>
      <c r="K115" s="90"/>
      <c r="L115" s="83"/>
      <c r="O115" s="61"/>
      <c r="P115" s="61"/>
      <c r="Q115" s="61"/>
      <c r="R115" s="61"/>
      <c r="S115" s="61"/>
      <c r="T115" s="61"/>
      <c r="U115" s="61"/>
      <c r="V115" s="61"/>
    </row>
    <row r="116" spans="2:22" x14ac:dyDescent="0.25">
      <c r="B116" s="121"/>
      <c r="C116" s="70"/>
      <c r="D116" s="43"/>
      <c r="E116" s="88"/>
      <c r="F116" s="89"/>
      <c r="G116" s="43"/>
      <c r="H116" s="43"/>
      <c r="I116" s="43"/>
      <c r="J116" s="43"/>
      <c r="K116" s="90"/>
      <c r="L116" s="83"/>
      <c r="O116" s="61"/>
      <c r="P116" s="61"/>
      <c r="Q116" s="61"/>
      <c r="R116" s="61"/>
      <c r="S116" s="61"/>
      <c r="T116" s="61"/>
      <c r="U116" s="61"/>
      <c r="V116" s="61"/>
    </row>
    <row r="117" spans="2:22" x14ac:dyDescent="0.25">
      <c r="B117" s="121"/>
      <c r="C117" s="70"/>
      <c r="D117" s="43"/>
      <c r="E117" s="88"/>
      <c r="F117" s="89"/>
      <c r="G117" s="43"/>
      <c r="H117" s="43"/>
      <c r="I117" s="43"/>
      <c r="J117" s="43"/>
      <c r="K117" s="90"/>
      <c r="L117" s="83"/>
      <c r="O117" s="61"/>
      <c r="P117" s="61"/>
      <c r="Q117" s="61"/>
      <c r="R117" s="61"/>
      <c r="S117" s="61"/>
      <c r="T117" s="61"/>
      <c r="U117" s="61"/>
      <c r="V117" s="61"/>
    </row>
    <row r="118" spans="2:22" x14ac:dyDescent="0.25">
      <c r="B118" s="121"/>
      <c r="C118" s="70"/>
      <c r="D118" s="43"/>
      <c r="E118" s="88"/>
      <c r="F118" s="89"/>
      <c r="G118" s="43"/>
      <c r="H118" s="43"/>
      <c r="I118" s="43"/>
      <c r="J118" s="43"/>
      <c r="K118" s="90"/>
      <c r="L118" s="83"/>
      <c r="O118" s="61"/>
      <c r="P118" s="61"/>
      <c r="Q118" s="61"/>
      <c r="R118" s="61"/>
      <c r="S118" s="61"/>
      <c r="T118" s="61"/>
      <c r="U118" s="61"/>
      <c r="V118" s="61"/>
    </row>
    <row r="119" spans="2:22" x14ac:dyDescent="0.25">
      <c r="B119" s="121"/>
      <c r="C119" s="70"/>
      <c r="D119" s="43"/>
      <c r="E119" s="88"/>
      <c r="F119" s="89"/>
      <c r="G119" s="43"/>
      <c r="H119" s="43"/>
      <c r="I119" s="43"/>
      <c r="J119" s="43"/>
      <c r="K119" s="90"/>
      <c r="L119" s="83"/>
    </row>
    <row r="120" spans="2:22" x14ac:dyDescent="0.25">
      <c r="B120" s="121"/>
      <c r="C120" s="70"/>
      <c r="D120" s="43"/>
      <c r="E120" s="88"/>
      <c r="F120" s="89"/>
      <c r="G120" s="43"/>
      <c r="H120" s="43"/>
      <c r="I120" s="43"/>
      <c r="J120" s="43"/>
      <c r="K120" s="90"/>
      <c r="L120" s="83"/>
    </row>
    <row r="121" spans="2:22" x14ac:dyDescent="0.25">
      <c r="B121" s="121"/>
      <c r="C121" s="70"/>
      <c r="D121" s="43"/>
      <c r="E121" s="88"/>
      <c r="F121" s="89"/>
      <c r="G121" s="43"/>
      <c r="H121" s="43"/>
      <c r="I121" s="43"/>
      <c r="J121" s="43"/>
      <c r="K121" s="90"/>
      <c r="L121" s="83"/>
    </row>
    <row r="122" spans="2:22" x14ac:dyDescent="0.25">
      <c r="B122" s="121"/>
      <c r="C122" s="70"/>
      <c r="D122" s="43"/>
      <c r="E122" s="88"/>
      <c r="F122" s="89"/>
      <c r="G122" s="43"/>
      <c r="H122" s="43"/>
      <c r="I122" s="43"/>
      <c r="J122" s="43"/>
      <c r="K122" s="90"/>
      <c r="L122" s="83"/>
    </row>
    <row r="123" spans="2:22" x14ac:dyDescent="0.25">
      <c r="B123" s="121"/>
      <c r="C123" s="70"/>
      <c r="D123" s="43"/>
      <c r="E123" s="88"/>
      <c r="F123" s="89"/>
      <c r="G123" s="43"/>
      <c r="H123" s="43"/>
      <c r="I123" s="43"/>
      <c r="J123" s="43"/>
      <c r="K123" s="90"/>
      <c r="L123" s="83"/>
    </row>
    <row r="124" spans="2:22" x14ac:dyDescent="0.25">
      <c r="B124" s="121"/>
      <c r="C124" s="70"/>
      <c r="D124" s="43"/>
      <c r="E124" s="88"/>
      <c r="F124" s="89"/>
      <c r="G124" s="43"/>
      <c r="H124" s="43"/>
      <c r="I124" s="43"/>
      <c r="J124" s="43"/>
      <c r="K124" s="90"/>
      <c r="L124" s="83"/>
    </row>
    <row r="125" spans="2:22" x14ac:dyDescent="0.25">
      <c r="B125" s="121"/>
      <c r="C125" s="70"/>
      <c r="D125" s="43"/>
      <c r="E125" s="88"/>
      <c r="F125" s="89"/>
      <c r="G125" s="43"/>
      <c r="H125" s="43"/>
      <c r="I125" s="43"/>
      <c r="J125" s="43"/>
      <c r="K125" s="90"/>
      <c r="L125" s="83"/>
    </row>
    <row r="126" spans="2:22" x14ac:dyDescent="0.25">
      <c r="B126" s="121"/>
      <c r="C126" s="70"/>
      <c r="D126" s="43"/>
      <c r="E126" s="88"/>
      <c r="F126" s="89"/>
      <c r="G126" s="43"/>
      <c r="H126" s="43"/>
      <c r="I126" s="43"/>
      <c r="J126" s="43"/>
      <c r="K126" s="90"/>
      <c r="L126" s="83"/>
    </row>
    <row r="127" spans="2:22" ht="15.75" thickBot="1" x14ac:dyDescent="0.3">
      <c r="B127" s="122"/>
      <c r="C127" s="71"/>
      <c r="D127" s="68"/>
      <c r="E127" s="91"/>
      <c r="F127" s="92"/>
      <c r="G127" s="68"/>
      <c r="H127" s="68"/>
      <c r="I127" s="68"/>
      <c r="J127" s="68"/>
      <c r="K127" s="93"/>
      <c r="L127" s="83"/>
    </row>
    <row r="128" spans="2:22" ht="17.25" customHeight="1" x14ac:dyDescent="0.25">
      <c r="B128" s="123" t="s">
        <v>102</v>
      </c>
      <c r="C128" s="69">
        <v>0</v>
      </c>
      <c r="D128" s="67">
        <v>1</v>
      </c>
      <c r="E128" s="85">
        <v>52.489999999999988</v>
      </c>
      <c r="F128" s="86">
        <v>1</v>
      </c>
      <c r="G128" s="67">
        <v>0.56699999999999995</v>
      </c>
      <c r="H128" s="67">
        <v>0.51</v>
      </c>
      <c r="I128" s="67">
        <v>0</v>
      </c>
      <c r="J128" s="67">
        <v>1</v>
      </c>
      <c r="K128" s="87">
        <v>0</v>
      </c>
      <c r="M128" s="94" t="s">
        <v>141</v>
      </c>
      <c r="N128" s="95">
        <f>ROUNDUP(MAX($D$98:$D$127),0)</f>
        <v>1</v>
      </c>
    </row>
    <row r="129" spans="2:22" x14ac:dyDescent="0.25">
      <c r="B129" s="121"/>
      <c r="C129" s="70">
        <v>18.280000000000015</v>
      </c>
      <c r="D129" s="43">
        <v>1</v>
      </c>
      <c r="E129" s="88">
        <v>52.489999999999988</v>
      </c>
      <c r="F129" s="89">
        <v>1</v>
      </c>
      <c r="G129" s="43">
        <v>1</v>
      </c>
      <c r="H129" s="43">
        <v>0.52600000000000002</v>
      </c>
      <c r="I129" s="43">
        <v>0</v>
      </c>
      <c r="J129" s="43">
        <v>1</v>
      </c>
      <c r="K129" s="90">
        <v>0.505</v>
      </c>
      <c r="M129" s="94" t="s">
        <v>142</v>
      </c>
      <c r="N129" s="95">
        <f>N128+INT(($D$54-MAX($D$98:$D$127))*2/4)/2</f>
        <v>1.5</v>
      </c>
    </row>
    <row r="130" spans="2:22" x14ac:dyDescent="0.25">
      <c r="B130" s="121"/>
      <c r="C130" s="70">
        <v>20</v>
      </c>
      <c r="D130" s="43">
        <v>1</v>
      </c>
      <c r="E130" s="88">
        <v>46.95</v>
      </c>
      <c r="F130" s="89">
        <v>1</v>
      </c>
      <c r="G130" s="43">
        <v>1</v>
      </c>
      <c r="H130" s="43">
        <v>0.49099999999999999</v>
      </c>
      <c r="I130" s="43">
        <v>0</v>
      </c>
      <c r="J130" s="43">
        <v>0.90800000000000003</v>
      </c>
      <c r="K130" s="90">
        <v>0.53200000000000003</v>
      </c>
      <c r="M130" s="94" t="s">
        <v>143</v>
      </c>
      <c r="N130" s="95">
        <f>N129+INT(($D$54-MAX($D$98:$D$127))*2/4)/2</f>
        <v>2</v>
      </c>
      <c r="O130" s="61"/>
      <c r="P130" s="61"/>
      <c r="Q130" s="61"/>
      <c r="R130" s="61"/>
      <c r="S130" s="61"/>
      <c r="T130" s="61"/>
      <c r="U130" s="61"/>
      <c r="V130" s="61"/>
    </row>
    <row r="131" spans="2:22" x14ac:dyDescent="0.25">
      <c r="B131" s="121"/>
      <c r="C131" s="70">
        <v>22.5</v>
      </c>
      <c r="D131" s="43">
        <v>1</v>
      </c>
      <c r="E131" s="88">
        <v>38.869999999999997</v>
      </c>
      <c r="F131" s="89">
        <v>1</v>
      </c>
      <c r="G131" s="43">
        <v>1</v>
      </c>
      <c r="H131" s="43">
        <v>0.441</v>
      </c>
      <c r="I131" s="43">
        <v>0</v>
      </c>
      <c r="J131" s="43">
        <v>0.77600000000000002</v>
      </c>
      <c r="K131" s="90">
        <v>0.56699999999999995</v>
      </c>
      <c r="M131" s="94" t="s">
        <v>144</v>
      </c>
      <c r="N131" s="95">
        <f>N130+INT(($D$54-MAX($D$98:$D$127))*2/4)/2</f>
        <v>2.5</v>
      </c>
      <c r="O131" s="61"/>
      <c r="P131" s="61"/>
      <c r="Q131" s="61"/>
      <c r="R131" s="61"/>
      <c r="S131" s="61"/>
      <c r="T131" s="61"/>
      <c r="U131" s="61"/>
      <c r="V131" s="61"/>
    </row>
    <row r="132" spans="2:22" x14ac:dyDescent="0.25">
      <c r="B132" s="121"/>
      <c r="C132" s="70">
        <v>25</v>
      </c>
      <c r="D132" s="43">
        <v>1</v>
      </c>
      <c r="E132" s="88">
        <v>30.800000000000011</v>
      </c>
      <c r="F132" s="89">
        <v>1</v>
      </c>
      <c r="G132" s="43">
        <v>1</v>
      </c>
      <c r="H132" s="43">
        <v>0.39</v>
      </c>
      <c r="I132" s="43">
        <v>0</v>
      </c>
      <c r="J132" s="43">
        <v>0.64600000000000002</v>
      </c>
      <c r="K132" s="90">
        <v>0.59899999999999998</v>
      </c>
      <c r="M132" s="94" t="s">
        <v>145</v>
      </c>
      <c r="N132" s="95">
        <f>N131+INT(($D$54-MAX($D$98:$D$127))*2/4)/2</f>
        <v>3</v>
      </c>
      <c r="O132" s="61"/>
      <c r="P132" s="61"/>
      <c r="Q132" s="61"/>
      <c r="R132" s="61"/>
      <c r="S132" s="61"/>
      <c r="T132" s="61"/>
      <c r="U132" s="61"/>
      <c r="V132" s="61"/>
    </row>
    <row r="133" spans="2:22" x14ac:dyDescent="0.25">
      <c r="B133" s="121"/>
      <c r="C133" s="70">
        <v>27.5</v>
      </c>
      <c r="D133" s="43">
        <v>1</v>
      </c>
      <c r="E133" s="88">
        <v>23.460000000000015</v>
      </c>
      <c r="F133" s="89">
        <v>1</v>
      </c>
      <c r="G133" s="43">
        <v>1</v>
      </c>
      <c r="H133" s="43">
        <v>0.34399999999999997</v>
      </c>
      <c r="I133" s="43">
        <v>0.53900000000000003</v>
      </c>
      <c r="J133" s="43">
        <v>0</v>
      </c>
      <c r="K133" s="90">
        <v>0.63</v>
      </c>
      <c r="O133" s="61"/>
      <c r="P133" s="61"/>
      <c r="Q133" s="61"/>
      <c r="R133" s="61"/>
      <c r="S133" s="61"/>
      <c r="T133" s="61"/>
      <c r="U133" s="61"/>
      <c r="V133" s="61"/>
    </row>
    <row r="134" spans="2:22" x14ac:dyDescent="0.25">
      <c r="B134" s="121"/>
      <c r="C134" s="70">
        <v>30</v>
      </c>
      <c r="D134" s="43">
        <v>1</v>
      </c>
      <c r="E134" s="88">
        <v>18.020000000000003</v>
      </c>
      <c r="F134" s="89">
        <v>1</v>
      </c>
      <c r="G134" s="43">
        <v>1</v>
      </c>
      <c r="H134" s="43">
        <v>0.31</v>
      </c>
      <c r="I134" s="43">
        <v>0.47899999999999998</v>
      </c>
      <c r="J134" s="43">
        <v>0</v>
      </c>
      <c r="K134" s="90">
        <v>0.66600000000000004</v>
      </c>
      <c r="O134" s="61"/>
      <c r="P134" s="61"/>
      <c r="Q134" s="61"/>
      <c r="R134" s="61"/>
      <c r="S134" s="61"/>
      <c r="T134" s="61"/>
      <c r="U134" s="61"/>
      <c r="V134" s="61"/>
    </row>
    <row r="135" spans="2:22" x14ac:dyDescent="0.25">
      <c r="B135" s="121"/>
      <c r="C135" s="70">
        <v>32.5</v>
      </c>
      <c r="D135" s="43">
        <v>1</v>
      </c>
      <c r="E135" s="88">
        <v>12.579999999999997</v>
      </c>
      <c r="F135" s="89">
        <v>1</v>
      </c>
      <c r="G135" s="43">
        <v>1</v>
      </c>
      <c r="H135" s="43">
        <v>0.27700000000000002</v>
      </c>
      <c r="I135" s="43">
        <v>0.41799999999999998</v>
      </c>
      <c r="J135" s="43">
        <v>0</v>
      </c>
      <c r="K135" s="90">
        <v>0.7</v>
      </c>
      <c r="O135" s="61"/>
      <c r="P135" s="61"/>
      <c r="Q135" s="61"/>
      <c r="R135" s="61"/>
      <c r="S135" s="61"/>
      <c r="T135" s="61"/>
      <c r="U135" s="61"/>
      <c r="V135" s="61"/>
    </row>
    <row r="136" spans="2:22" x14ac:dyDescent="0.25">
      <c r="B136" s="121"/>
      <c r="C136" s="70">
        <v>35</v>
      </c>
      <c r="D136" s="43">
        <v>1</v>
      </c>
      <c r="E136" s="88">
        <v>7.1399999999999988</v>
      </c>
      <c r="F136" s="89">
        <v>1</v>
      </c>
      <c r="G136" s="43">
        <v>1</v>
      </c>
      <c r="H136" s="43">
        <v>0.24299999999999999</v>
      </c>
      <c r="I136" s="43">
        <v>0.35699999999999998</v>
      </c>
      <c r="J136" s="43">
        <v>0</v>
      </c>
      <c r="K136" s="90">
        <v>0.73199999999999998</v>
      </c>
      <c r="O136" s="61"/>
      <c r="P136" s="61"/>
      <c r="Q136" s="61"/>
      <c r="R136" s="61"/>
      <c r="S136" s="61"/>
      <c r="T136" s="61"/>
      <c r="U136" s="61"/>
      <c r="V136" s="61"/>
    </row>
    <row r="137" spans="2:22" x14ac:dyDescent="0.25">
      <c r="B137" s="121"/>
      <c r="C137" s="70">
        <v>37.5</v>
      </c>
      <c r="D137" s="43">
        <v>1</v>
      </c>
      <c r="E137" s="88">
        <v>1.7000000000000006</v>
      </c>
      <c r="F137" s="89">
        <v>1</v>
      </c>
      <c r="G137" s="43">
        <v>1</v>
      </c>
      <c r="H137" s="43">
        <v>0.20899999999999999</v>
      </c>
      <c r="I137" s="43">
        <v>0.29699999999999999</v>
      </c>
      <c r="J137" s="43">
        <v>0</v>
      </c>
      <c r="K137" s="90">
        <v>0.76200000000000001</v>
      </c>
      <c r="O137" s="61"/>
      <c r="P137" s="61"/>
      <c r="Q137" s="61"/>
      <c r="R137" s="61"/>
      <c r="S137" s="61"/>
      <c r="T137" s="61"/>
      <c r="U137" s="61"/>
      <c r="V137" s="61"/>
    </row>
    <row r="138" spans="2:22" x14ac:dyDescent="0.25">
      <c r="B138" s="121"/>
      <c r="C138" s="70">
        <v>38.279999999999987</v>
      </c>
      <c r="D138" s="43">
        <v>1</v>
      </c>
      <c r="E138" s="88">
        <v>0</v>
      </c>
      <c r="F138" s="89">
        <v>1</v>
      </c>
      <c r="G138" s="43">
        <v>1</v>
      </c>
      <c r="H138" s="43">
        <v>0.19900000000000001</v>
      </c>
      <c r="I138" s="43">
        <v>0.27800000000000002</v>
      </c>
      <c r="J138" s="43">
        <v>0</v>
      </c>
      <c r="K138" s="90">
        <v>0.77100000000000002</v>
      </c>
      <c r="O138" s="61"/>
      <c r="P138" s="61"/>
      <c r="Q138" s="61"/>
      <c r="R138" s="61"/>
      <c r="S138" s="61"/>
      <c r="T138" s="61"/>
      <c r="U138" s="61"/>
      <c r="V138" s="61"/>
    </row>
    <row r="139" spans="2:22" x14ac:dyDescent="0.25">
      <c r="B139" s="121"/>
      <c r="C139" s="70"/>
      <c r="D139" s="43"/>
      <c r="E139" s="88"/>
      <c r="F139" s="89"/>
      <c r="G139" s="43"/>
      <c r="H139" s="43"/>
      <c r="I139" s="43"/>
      <c r="J139" s="43"/>
      <c r="K139" s="90"/>
      <c r="O139" s="61"/>
      <c r="P139" s="61"/>
      <c r="Q139" s="61"/>
      <c r="R139" s="61"/>
      <c r="S139" s="61"/>
      <c r="T139" s="61"/>
      <c r="U139" s="61"/>
      <c r="V139" s="61"/>
    </row>
    <row r="140" spans="2:22" x14ac:dyDescent="0.25">
      <c r="B140" s="121"/>
      <c r="C140" s="70"/>
      <c r="D140" s="43"/>
      <c r="E140" s="88"/>
      <c r="F140" s="89"/>
      <c r="G140" s="43"/>
      <c r="H140" s="43"/>
      <c r="I140" s="43"/>
      <c r="J140" s="43"/>
      <c r="K140" s="90"/>
      <c r="O140" s="61"/>
      <c r="P140" s="61"/>
      <c r="Q140" s="61"/>
      <c r="R140" s="61"/>
      <c r="S140" s="61"/>
      <c r="T140" s="61"/>
      <c r="U140" s="61"/>
      <c r="V140" s="61"/>
    </row>
    <row r="141" spans="2:22" x14ac:dyDescent="0.25">
      <c r="B141" s="121"/>
      <c r="C141" s="70"/>
      <c r="D141" s="43"/>
      <c r="E141" s="88"/>
      <c r="F141" s="89"/>
      <c r="G141" s="43"/>
      <c r="H141" s="43"/>
      <c r="I141" s="43"/>
      <c r="J141" s="43"/>
      <c r="K141" s="90"/>
      <c r="O141" s="61"/>
      <c r="P141" s="61"/>
      <c r="Q141" s="61"/>
      <c r="R141" s="61"/>
      <c r="S141" s="61"/>
      <c r="T141" s="61"/>
      <c r="U141" s="61"/>
      <c r="V141" s="61"/>
    </row>
    <row r="142" spans="2:22" x14ac:dyDescent="0.25">
      <c r="B142" s="121"/>
      <c r="C142" s="70"/>
      <c r="D142" s="43"/>
      <c r="E142" s="88"/>
      <c r="F142" s="89"/>
      <c r="G142" s="43"/>
      <c r="H142" s="43"/>
      <c r="I142" s="43"/>
      <c r="J142" s="43"/>
      <c r="K142" s="90"/>
      <c r="O142" s="61"/>
      <c r="P142" s="61"/>
      <c r="Q142" s="61"/>
      <c r="R142" s="61"/>
      <c r="S142" s="61"/>
      <c r="T142" s="61"/>
      <c r="U142" s="61"/>
      <c r="V142" s="61"/>
    </row>
    <row r="143" spans="2:22" x14ac:dyDescent="0.25">
      <c r="B143" s="121"/>
      <c r="C143" s="70"/>
      <c r="D143" s="43"/>
      <c r="E143" s="88"/>
      <c r="F143" s="89"/>
      <c r="G143" s="43"/>
      <c r="H143" s="43"/>
      <c r="I143" s="43"/>
      <c r="J143" s="43"/>
      <c r="K143" s="90"/>
      <c r="O143" s="61"/>
      <c r="P143" s="61"/>
      <c r="Q143" s="61"/>
      <c r="R143" s="61"/>
      <c r="S143" s="61"/>
      <c r="T143" s="61"/>
      <c r="U143" s="61"/>
      <c r="V143" s="61"/>
    </row>
    <row r="144" spans="2:22" x14ac:dyDescent="0.25">
      <c r="B144" s="121"/>
      <c r="C144" s="70"/>
      <c r="D144" s="43"/>
      <c r="E144" s="88"/>
      <c r="F144" s="89"/>
      <c r="G144" s="43"/>
      <c r="H144" s="43"/>
      <c r="I144" s="43"/>
      <c r="J144" s="43"/>
      <c r="K144" s="90"/>
    </row>
    <row r="145" spans="2:22" x14ac:dyDescent="0.25">
      <c r="B145" s="121"/>
      <c r="C145" s="70"/>
      <c r="D145" s="43"/>
      <c r="E145" s="88"/>
      <c r="F145" s="89"/>
      <c r="G145" s="43"/>
      <c r="H145" s="43"/>
      <c r="I145" s="43"/>
      <c r="J145" s="43"/>
      <c r="K145" s="90"/>
    </row>
    <row r="146" spans="2:22" x14ac:dyDescent="0.25">
      <c r="B146" s="121"/>
      <c r="C146" s="70"/>
      <c r="D146" s="43"/>
      <c r="E146" s="88"/>
      <c r="F146" s="89"/>
      <c r="G146" s="43"/>
      <c r="H146" s="43"/>
      <c r="I146" s="43"/>
      <c r="J146" s="43"/>
      <c r="K146" s="90"/>
    </row>
    <row r="147" spans="2:22" x14ac:dyDescent="0.25">
      <c r="B147" s="121"/>
      <c r="C147" s="70"/>
      <c r="D147" s="43"/>
      <c r="E147" s="88"/>
      <c r="F147" s="89"/>
      <c r="G147" s="43"/>
      <c r="H147" s="43"/>
      <c r="I147" s="43"/>
      <c r="J147" s="43"/>
      <c r="K147" s="90"/>
    </row>
    <row r="148" spans="2:22" x14ac:dyDescent="0.25">
      <c r="B148" s="121"/>
      <c r="C148" s="70"/>
      <c r="D148" s="43"/>
      <c r="E148" s="88"/>
      <c r="F148" s="89"/>
      <c r="G148" s="43"/>
      <c r="H148" s="43"/>
      <c r="I148" s="43"/>
      <c r="J148" s="43"/>
      <c r="K148" s="90"/>
    </row>
    <row r="149" spans="2:22" ht="15.75" thickBot="1" x14ac:dyDescent="0.3">
      <c r="B149" s="122"/>
      <c r="C149" s="71"/>
      <c r="D149" s="68"/>
      <c r="E149" s="91"/>
      <c r="F149" s="92"/>
      <c r="G149" s="68"/>
      <c r="H149" s="68"/>
      <c r="I149" s="68"/>
      <c r="J149" s="68"/>
      <c r="K149" s="93"/>
    </row>
    <row r="150" spans="2:22" ht="15" customHeight="1" x14ac:dyDescent="0.25">
      <c r="B150" s="115" t="s">
        <v>104</v>
      </c>
      <c r="C150" s="69">
        <v>0</v>
      </c>
      <c r="D150" s="67">
        <v>1.5</v>
      </c>
      <c r="E150" s="85">
        <v>48.129999999999995</v>
      </c>
      <c r="F150" s="86">
        <v>1</v>
      </c>
      <c r="G150" s="67">
        <v>0.627</v>
      </c>
      <c r="H150" s="67">
        <v>0.56399999999999995</v>
      </c>
      <c r="I150" s="67">
        <v>0</v>
      </c>
      <c r="J150" s="67">
        <v>1</v>
      </c>
      <c r="K150" s="87">
        <v>0</v>
      </c>
      <c r="L150" s="83"/>
    </row>
    <row r="151" spans="2:22" x14ac:dyDescent="0.25">
      <c r="B151" s="116"/>
      <c r="C151" s="70">
        <v>15.759999999999996</v>
      </c>
      <c r="D151" s="43">
        <v>1.5</v>
      </c>
      <c r="E151" s="88">
        <v>48.129999999999995</v>
      </c>
      <c r="F151" s="89">
        <v>1</v>
      </c>
      <c r="G151" s="43">
        <v>1</v>
      </c>
      <c r="H151" s="43">
        <v>0.57799999999999996</v>
      </c>
      <c r="I151" s="43">
        <v>0</v>
      </c>
      <c r="J151" s="43">
        <v>1</v>
      </c>
      <c r="K151" s="90">
        <v>0.42199999999999999</v>
      </c>
      <c r="L151" s="84"/>
    </row>
    <row r="152" spans="2:22" x14ac:dyDescent="0.25">
      <c r="B152" s="116"/>
      <c r="C152" s="70">
        <v>20</v>
      </c>
      <c r="D152" s="43">
        <v>1.5</v>
      </c>
      <c r="E152" s="88">
        <v>35.449999999999996</v>
      </c>
      <c r="F152" s="89">
        <v>1</v>
      </c>
      <c r="G152" s="43">
        <v>1</v>
      </c>
      <c r="H152" s="43">
        <v>0.498</v>
      </c>
      <c r="I152" s="43">
        <v>0.81100000000000005</v>
      </c>
      <c r="J152" s="43">
        <v>0</v>
      </c>
      <c r="K152" s="90">
        <v>0.49299999999999999</v>
      </c>
      <c r="L152" s="83"/>
      <c r="O152" s="61"/>
      <c r="P152" s="61"/>
      <c r="Q152" s="61"/>
      <c r="R152" s="61"/>
      <c r="S152" s="61"/>
      <c r="T152" s="61"/>
      <c r="U152" s="61"/>
      <c r="V152" s="61"/>
    </row>
    <row r="153" spans="2:22" x14ac:dyDescent="0.25">
      <c r="B153" s="116"/>
      <c r="C153" s="70">
        <v>22.5</v>
      </c>
      <c r="D153" s="43">
        <v>1.5</v>
      </c>
      <c r="E153" s="88">
        <v>30.01</v>
      </c>
      <c r="F153" s="89">
        <v>1</v>
      </c>
      <c r="G153" s="43">
        <v>1</v>
      </c>
      <c r="H153" s="43">
        <v>0.46400000000000002</v>
      </c>
      <c r="I153" s="43">
        <v>0.751</v>
      </c>
      <c r="J153" s="43">
        <v>0</v>
      </c>
      <c r="K153" s="90">
        <v>0.53600000000000003</v>
      </c>
      <c r="L153" s="84"/>
      <c r="O153" s="61"/>
      <c r="P153" s="61"/>
      <c r="Q153" s="61"/>
      <c r="R153" s="61"/>
      <c r="S153" s="61"/>
      <c r="T153" s="61"/>
      <c r="U153" s="61"/>
      <c r="V153" s="61"/>
    </row>
    <row r="154" spans="2:22" x14ac:dyDescent="0.25">
      <c r="B154" s="116"/>
      <c r="C154" s="70">
        <v>25</v>
      </c>
      <c r="D154" s="43">
        <v>1.5</v>
      </c>
      <c r="E154" s="88">
        <v>24.560000000000016</v>
      </c>
      <c r="F154" s="89">
        <v>1</v>
      </c>
      <c r="G154" s="43">
        <v>1</v>
      </c>
      <c r="H154" s="43">
        <v>0.42899999999999999</v>
      </c>
      <c r="I154" s="43">
        <v>0.69</v>
      </c>
      <c r="J154" s="43">
        <v>0</v>
      </c>
      <c r="K154" s="90">
        <v>0.57699999999999996</v>
      </c>
      <c r="L154" s="83"/>
      <c r="O154" s="61"/>
      <c r="P154" s="61"/>
      <c r="Q154" s="61"/>
      <c r="R154" s="61"/>
      <c r="S154" s="61"/>
      <c r="T154" s="61"/>
      <c r="U154" s="61"/>
      <c r="V154" s="61"/>
    </row>
    <row r="155" spans="2:22" x14ac:dyDescent="0.25">
      <c r="B155" s="116"/>
      <c r="C155" s="70">
        <v>27.5</v>
      </c>
      <c r="D155" s="43">
        <v>1.5</v>
      </c>
      <c r="E155" s="88">
        <v>19.120000000000005</v>
      </c>
      <c r="F155" s="89">
        <v>1</v>
      </c>
      <c r="G155" s="43">
        <v>1</v>
      </c>
      <c r="H155" s="43">
        <v>0.39500000000000002</v>
      </c>
      <c r="I155" s="43">
        <v>0.63</v>
      </c>
      <c r="J155" s="43">
        <v>0</v>
      </c>
      <c r="K155" s="90">
        <v>0.61399999999999999</v>
      </c>
      <c r="L155" s="84"/>
      <c r="O155" s="61"/>
      <c r="P155" s="61"/>
      <c r="Q155" s="61"/>
      <c r="R155" s="61"/>
      <c r="S155" s="61"/>
      <c r="T155" s="61"/>
      <c r="U155" s="61"/>
      <c r="V155" s="61"/>
    </row>
    <row r="156" spans="2:22" x14ac:dyDescent="0.25">
      <c r="B156" s="116"/>
      <c r="C156" s="70">
        <v>30</v>
      </c>
      <c r="D156" s="43">
        <v>1.5</v>
      </c>
      <c r="E156" s="88">
        <v>13.679999999999996</v>
      </c>
      <c r="F156" s="89">
        <v>1</v>
      </c>
      <c r="G156" s="43">
        <v>1</v>
      </c>
      <c r="H156" s="43">
        <v>0.36099999999999999</v>
      </c>
      <c r="I156" s="43">
        <v>0.56899999999999995</v>
      </c>
      <c r="J156" s="43">
        <v>0</v>
      </c>
      <c r="K156" s="90">
        <v>0.65</v>
      </c>
      <c r="L156" s="83"/>
      <c r="O156" s="61"/>
      <c r="P156" s="61"/>
      <c r="Q156" s="61"/>
      <c r="R156" s="61"/>
      <c r="S156" s="61"/>
      <c r="T156" s="61"/>
      <c r="U156" s="61"/>
      <c r="V156" s="61"/>
    </row>
    <row r="157" spans="2:22" x14ac:dyDescent="0.25">
      <c r="B157" s="116"/>
      <c r="C157" s="70">
        <v>32.5</v>
      </c>
      <c r="D157" s="43">
        <v>1.5</v>
      </c>
      <c r="E157" s="88">
        <v>8.2399999999999984</v>
      </c>
      <c r="F157" s="89">
        <v>1</v>
      </c>
      <c r="G157" s="43">
        <v>1</v>
      </c>
      <c r="H157" s="43">
        <v>0.32700000000000001</v>
      </c>
      <c r="I157" s="43">
        <v>0.50900000000000001</v>
      </c>
      <c r="J157" s="43">
        <v>0</v>
      </c>
      <c r="K157" s="90">
        <v>0.68300000000000005</v>
      </c>
      <c r="L157" s="84"/>
      <c r="O157" s="61"/>
      <c r="P157" s="61"/>
      <c r="Q157" s="61"/>
      <c r="R157" s="61"/>
      <c r="S157" s="61"/>
      <c r="T157" s="61"/>
      <c r="U157" s="61"/>
      <c r="V157" s="61"/>
    </row>
    <row r="158" spans="2:22" x14ac:dyDescent="0.25">
      <c r="B158" s="116"/>
      <c r="C158" s="70">
        <v>35</v>
      </c>
      <c r="D158" s="43">
        <v>1.5</v>
      </c>
      <c r="E158" s="88">
        <v>2.8000000000000007</v>
      </c>
      <c r="F158" s="89">
        <v>1</v>
      </c>
      <c r="G158" s="43">
        <v>1</v>
      </c>
      <c r="H158" s="43">
        <v>0.29299999999999998</v>
      </c>
      <c r="I158" s="43">
        <v>0.44800000000000001</v>
      </c>
      <c r="J158" s="43">
        <v>0</v>
      </c>
      <c r="K158" s="90">
        <v>0.71499999999999997</v>
      </c>
      <c r="L158" s="83"/>
      <c r="O158" s="61"/>
      <c r="P158" s="61"/>
      <c r="Q158" s="61"/>
      <c r="R158" s="61"/>
      <c r="S158" s="61"/>
      <c r="T158" s="61"/>
      <c r="U158" s="61"/>
      <c r="V158" s="61"/>
    </row>
    <row r="159" spans="2:22" x14ac:dyDescent="0.25">
      <c r="B159" s="116"/>
      <c r="C159" s="70">
        <v>36.279999999999987</v>
      </c>
      <c r="D159" s="43">
        <v>1.5</v>
      </c>
      <c r="E159" s="88">
        <v>0</v>
      </c>
      <c r="F159" s="89">
        <v>1</v>
      </c>
      <c r="G159" s="43">
        <v>1</v>
      </c>
      <c r="H159" s="43">
        <v>0.27600000000000002</v>
      </c>
      <c r="I159" s="43">
        <v>0.41699999999999998</v>
      </c>
      <c r="J159" s="43">
        <v>0</v>
      </c>
      <c r="K159" s="90">
        <v>0.73</v>
      </c>
      <c r="L159" s="84"/>
      <c r="O159" s="61"/>
      <c r="P159" s="61"/>
      <c r="Q159" s="61"/>
      <c r="R159" s="61"/>
      <c r="S159" s="61"/>
      <c r="T159" s="61"/>
      <c r="U159" s="61"/>
      <c r="V159" s="61"/>
    </row>
    <row r="160" spans="2:22" x14ac:dyDescent="0.25">
      <c r="B160" s="116"/>
      <c r="C160" s="70"/>
      <c r="D160" s="43"/>
      <c r="E160" s="88"/>
      <c r="F160" s="89"/>
      <c r="G160" s="43"/>
      <c r="H160" s="43"/>
      <c r="I160" s="43"/>
      <c r="J160" s="43"/>
      <c r="K160" s="90"/>
      <c r="L160" s="83"/>
      <c r="O160" s="61"/>
      <c r="P160" s="61"/>
      <c r="Q160" s="61"/>
      <c r="R160" s="61"/>
      <c r="S160" s="61"/>
      <c r="T160" s="61"/>
      <c r="U160" s="61"/>
      <c r="V160" s="61"/>
    </row>
    <row r="161" spans="2:22" x14ac:dyDescent="0.25">
      <c r="B161" s="116"/>
      <c r="C161" s="70"/>
      <c r="D161" s="43"/>
      <c r="E161" s="88"/>
      <c r="F161" s="89"/>
      <c r="G161" s="43"/>
      <c r="H161" s="43"/>
      <c r="I161" s="43"/>
      <c r="J161" s="43"/>
      <c r="K161" s="90"/>
      <c r="L161" s="84"/>
      <c r="O161" s="61"/>
      <c r="P161" s="61"/>
      <c r="Q161" s="61"/>
      <c r="R161" s="61"/>
      <c r="S161" s="61"/>
      <c r="T161" s="61"/>
      <c r="U161" s="61"/>
      <c r="V161" s="61"/>
    </row>
    <row r="162" spans="2:22" x14ac:dyDescent="0.25">
      <c r="B162" s="116"/>
      <c r="C162" s="70"/>
      <c r="D162" s="43"/>
      <c r="E162" s="88"/>
      <c r="F162" s="89"/>
      <c r="G162" s="43"/>
      <c r="H162" s="43"/>
      <c r="I162" s="43"/>
      <c r="J162" s="43"/>
      <c r="K162" s="90"/>
      <c r="L162" s="83"/>
      <c r="O162" s="61"/>
      <c r="P162" s="61"/>
      <c r="Q162" s="61"/>
      <c r="R162" s="61"/>
      <c r="S162" s="61"/>
      <c r="T162" s="61"/>
      <c r="U162" s="61"/>
      <c r="V162" s="61"/>
    </row>
    <row r="163" spans="2:22" x14ac:dyDescent="0.25">
      <c r="B163" s="116"/>
      <c r="C163" s="70"/>
      <c r="D163" s="43"/>
      <c r="E163" s="88"/>
      <c r="F163" s="89"/>
      <c r="G163" s="43"/>
      <c r="H163" s="43"/>
      <c r="I163" s="43"/>
      <c r="J163" s="43"/>
      <c r="K163" s="90"/>
      <c r="L163" s="84"/>
      <c r="O163" s="61"/>
      <c r="P163" s="61"/>
      <c r="Q163" s="61"/>
      <c r="R163" s="61"/>
      <c r="S163" s="61"/>
      <c r="T163" s="61"/>
      <c r="U163" s="61"/>
      <c r="V163" s="61"/>
    </row>
    <row r="164" spans="2:22" x14ac:dyDescent="0.25">
      <c r="B164" s="116"/>
      <c r="C164" s="70"/>
      <c r="D164" s="43"/>
      <c r="E164" s="88"/>
      <c r="F164" s="89"/>
      <c r="G164" s="43"/>
      <c r="H164" s="43"/>
      <c r="I164" s="43"/>
      <c r="J164" s="43"/>
      <c r="K164" s="90"/>
      <c r="L164" s="83"/>
      <c r="O164" s="61"/>
      <c r="P164" s="61"/>
      <c r="Q164" s="61"/>
      <c r="R164" s="61"/>
      <c r="S164" s="61"/>
      <c r="T164" s="61"/>
      <c r="U164" s="61"/>
      <c r="V164" s="61"/>
    </row>
    <row r="165" spans="2:22" x14ac:dyDescent="0.25">
      <c r="B165" s="116"/>
      <c r="C165" s="70"/>
      <c r="D165" s="43"/>
      <c r="E165" s="88"/>
      <c r="F165" s="89"/>
      <c r="G165" s="43"/>
      <c r="H165" s="43"/>
      <c r="I165" s="43"/>
      <c r="J165" s="43"/>
      <c r="K165" s="90"/>
      <c r="L165" s="84"/>
      <c r="O165" s="61"/>
      <c r="P165" s="61"/>
      <c r="Q165" s="61"/>
      <c r="R165" s="61"/>
      <c r="S165" s="61"/>
      <c r="T165" s="61"/>
      <c r="U165" s="61"/>
      <c r="V165" s="61"/>
    </row>
    <row r="166" spans="2:22" x14ac:dyDescent="0.25">
      <c r="B166" s="116"/>
      <c r="C166" s="70"/>
      <c r="D166" s="43"/>
      <c r="E166" s="88"/>
      <c r="F166" s="89"/>
      <c r="G166" s="43"/>
      <c r="H166" s="43"/>
      <c r="I166" s="43"/>
      <c r="J166" s="43"/>
      <c r="K166" s="90"/>
      <c r="L166" s="83"/>
    </row>
    <row r="167" spans="2:22" x14ac:dyDescent="0.25">
      <c r="B167" s="116"/>
      <c r="C167" s="70"/>
      <c r="D167" s="43"/>
      <c r="E167" s="88"/>
      <c r="F167" s="89"/>
      <c r="G167" s="43"/>
      <c r="H167" s="43"/>
      <c r="I167" s="43"/>
      <c r="J167" s="43"/>
      <c r="K167" s="90"/>
      <c r="L167" s="84"/>
    </row>
    <row r="168" spans="2:22" x14ac:dyDescent="0.25">
      <c r="B168" s="116"/>
      <c r="C168" s="70"/>
      <c r="D168" s="43"/>
      <c r="E168" s="88"/>
      <c r="F168" s="89"/>
      <c r="G168" s="43"/>
      <c r="H168" s="43"/>
      <c r="I168" s="43"/>
      <c r="J168" s="43"/>
      <c r="K168" s="90"/>
      <c r="L168" s="83"/>
    </row>
    <row r="169" spans="2:22" x14ac:dyDescent="0.25">
      <c r="B169" s="116"/>
      <c r="C169" s="70"/>
      <c r="D169" s="43"/>
      <c r="E169" s="88"/>
      <c r="F169" s="89"/>
      <c r="G169" s="43"/>
      <c r="H169" s="43"/>
      <c r="I169" s="43"/>
      <c r="J169" s="43"/>
      <c r="K169" s="90"/>
      <c r="L169" s="84"/>
    </row>
    <row r="170" spans="2:22" x14ac:dyDescent="0.25">
      <c r="B170" s="116"/>
      <c r="C170" s="70"/>
      <c r="D170" s="43"/>
      <c r="E170" s="88"/>
      <c r="F170" s="89"/>
      <c r="G170" s="43"/>
      <c r="H170" s="43"/>
      <c r="I170" s="43"/>
      <c r="J170" s="43"/>
      <c r="K170" s="90"/>
      <c r="L170" s="83"/>
    </row>
    <row r="171" spans="2:22" ht="15.75" thickBot="1" x14ac:dyDescent="0.3">
      <c r="B171" s="117"/>
      <c r="C171" s="71"/>
      <c r="D171" s="68"/>
      <c r="E171" s="91"/>
      <c r="F171" s="92"/>
      <c r="G171" s="68"/>
      <c r="H171" s="68"/>
      <c r="I171" s="68"/>
      <c r="J171" s="68"/>
      <c r="K171" s="93"/>
      <c r="L171" s="84"/>
    </row>
    <row r="172" spans="2:22" x14ac:dyDescent="0.25">
      <c r="B172" s="115" t="s">
        <v>101</v>
      </c>
      <c r="C172" s="69">
        <v>0</v>
      </c>
      <c r="D172" s="67">
        <v>2</v>
      </c>
      <c r="E172" s="85">
        <v>39.900000000000013</v>
      </c>
      <c r="F172" s="86">
        <v>1</v>
      </c>
      <c r="G172" s="67">
        <v>0.65800000000000003</v>
      </c>
      <c r="H172" s="67">
        <v>0.59199999999999997</v>
      </c>
      <c r="I172" s="67">
        <v>1</v>
      </c>
      <c r="J172" s="67">
        <v>0</v>
      </c>
      <c r="K172" s="87">
        <v>0</v>
      </c>
    </row>
    <row r="173" spans="2:22" x14ac:dyDescent="0.25">
      <c r="B173" s="116"/>
      <c r="C173" s="70">
        <v>15.959999999999996</v>
      </c>
      <c r="D173" s="43">
        <v>2</v>
      </c>
      <c r="E173" s="88">
        <v>39.900000000000013</v>
      </c>
      <c r="F173" s="89">
        <v>1</v>
      </c>
      <c r="G173" s="43">
        <v>1</v>
      </c>
      <c r="H173" s="43">
        <v>0.60399999999999998</v>
      </c>
      <c r="I173" s="43">
        <v>1</v>
      </c>
      <c r="J173" s="43">
        <v>0</v>
      </c>
      <c r="K173" s="90">
        <v>0.40500000000000003</v>
      </c>
    </row>
    <row r="174" spans="2:22" x14ac:dyDescent="0.25">
      <c r="B174" s="116"/>
      <c r="C174" s="70">
        <v>20</v>
      </c>
      <c r="D174" s="43">
        <v>2</v>
      </c>
      <c r="E174" s="88">
        <v>31.110000000000003</v>
      </c>
      <c r="F174" s="89">
        <v>1</v>
      </c>
      <c r="G174" s="43">
        <v>1</v>
      </c>
      <c r="H174" s="43">
        <v>0.54900000000000004</v>
      </c>
      <c r="I174" s="43">
        <v>0.90200000000000002</v>
      </c>
      <c r="J174" s="43">
        <v>0</v>
      </c>
      <c r="K174" s="90">
        <v>0.48</v>
      </c>
    </row>
    <row r="175" spans="2:22" x14ac:dyDescent="0.25">
      <c r="B175" s="116"/>
      <c r="C175" s="70">
        <v>22.5</v>
      </c>
      <c r="D175" s="43">
        <v>2</v>
      </c>
      <c r="E175" s="88">
        <v>25.670000000000019</v>
      </c>
      <c r="F175" s="89">
        <v>1</v>
      </c>
      <c r="G175" s="43">
        <v>1</v>
      </c>
      <c r="H175" s="43">
        <v>0.51500000000000001</v>
      </c>
      <c r="I175" s="43">
        <v>0.84199999999999997</v>
      </c>
      <c r="J175" s="43">
        <v>0</v>
      </c>
      <c r="K175" s="90">
        <v>0.52200000000000002</v>
      </c>
      <c r="O175" s="61"/>
      <c r="P175" s="61"/>
      <c r="Q175" s="61"/>
      <c r="R175" s="61"/>
      <c r="S175" s="61"/>
      <c r="T175" s="61"/>
      <c r="U175" s="61"/>
      <c r="V175" s="61"/>
    </row>
    <row r="176" spans="2:22" x14ac:dyDescent="0.25">
      <c r="B176" s="116"/>
      <c r="C176" s="70">
        <v>25</v>
      </c>
      <c r="D176" s="43">
        <v>2</v>
      </c>
      <c r="E176" s="88">
        <v>20.230000000000008</v>
      </c>
      <c r="F176" s="89">
        <v>1</v>
      </c>
      <c r="G176" s="43">
        <v>1</v>
      </c>
      <c r="H176" s="43">
        <v>0.48099999999999998</v>
      </c>
      <c r="I176" s="43">
        <v>0.78100000000000003</v>
      </c>
      <c r="J176" s="43">
        <v>0</v>
      </c>
      <c r="K176" s="90">
        <v>0.56200000000000006</v>
      </c>
      <c r="O176" s="61"/>
      <c r="P176" s="61"/>
      <c r="Q176" s="61"/>
      <c r="R176" s="61"/>
      <c r="S176" s="61"/>
      <c r="T176" s="61"/>
      <c r="U176" s="61"/>
      <c r="V176" s="61"/>
    </row>
    <row r="177" spans="2:22" x14ac:dyDescent="0.25">
      <c r="B177" s="116"/>
      <c r="C177" s="70">
        <v>27.5</v>
      </c>
      <c r="D177" s="43">
        <v>2</v>
      </c>
      <c r="E177" s="88">
        <v>14.779999999999996</v>
      </c>
      <c r="F177" s="89">
        <v>1</v>
      </c>
      <c r="G177" s="43">
        <v>1</v>
      </c>
      <c r="H177" s="43">
        <v>0.44600000000000001</v>
      </c>
      <c r="I177" s="43">
        <v>0.72099999999999997</v>
      </c>
      <c r="J177" s="43">
        <v>0</v>
      </c>
      <c r="K177" s="90">
        <v>0.59899999999999998</v>
      </c>
      <c r="O177" s="61"/>
      <c r="P177" s="61"/>
      <c r="Q177" s="61"/>
      <c r="R177" s="61"/>
      <c r="S177" s="61"/>
      <c r="T177" s="61"/>
      <c r="U177" s="61"/>
      <c r="V177" s="61"/>
    </row>
    <row r="178" spans="2:22" x14ac:dyDescent="0.25">
      <c r="B178" s="116"/>
      <c r="C178" s="70">
        <v>30</v>
      </c>
      <c r="D178" s="43">
        <v>2</v>
      </c>
      <c r="E178" s="88">
        <v>9.3399999999999981</v>
      </c>
      <c r="F178" s="89">
        <v>1</v>
      </c>
      <c r="G178" s="43">
        <v>1</v>
      </c>
      <c r="H178" s="43">
        <v>0.41199999999999998</v>
      </c>
      <c r="I178" s="43">
        <v>0.66</v>
      </c>
      <c r="J178" s="43">
        <v>0</v>
      </c>
      <c r="K178" s="90">
        <v>0.63500000000000001</v>
      </c>
      <c r="O178" s="61"/>
      <c r="P178" s="61"/>
      <c r="Q178" s="61"/>
      <c r="R178" s="61"/>
      <c r="S178" s="61"/>
      <c r="T178" s="61"/>
      <c r="U178" s="61"/>
      <c r="V178" s="61"/>
    </row>
    <row r="179" spans="2:22" x14ac:dyDescent="0.25">
      <c r="B179" s="116"/>
      <c r="C179" s="70">
        <v>32.5</v>
      </c>
      <c r="D179" s="43">
        <v>2</v>
      </c>
      <c r="E179" s="88">
        <v>3.9000000000000008</v>
      </c>
      <c r="F179" s="89">
        <v>1</v>
      </c>
      <c r="G179" s="43">
        <v>1</v>
      </c>
      <c r="H179" s="43">
        <v>0.378</v>
      </c>
      <c r="I179" s="43">
        <v>0.6</v>
      </c>
      <c r="J179" s="43">
        <v>0</v>
      </c>
      <c r="K179" s="90">
        <v>0.66800000000000004</v>
      </c>
      <c r="O179" s="61"/>
      <c r="P179" s="61"/>
      <c r="Q179" s="61"/>
      <c r="R179" s="61"/>
      <c r="S179" s="61"/>
      <c r="T179" s="61"/>
      <c r="U179" s="61"/>
      <c r="V179" s="61"/>
    </row>
    <row r="180" spans="2:22" x14ac:dyDescent="0.25">
      <c r="B180" s="116"/>
      <c r="C180" s="70">
        <v>34.289999999999985</v>
      </c>
      <c r="D180" s="43">
        <v>2</v>
      </c>
      <c r="E180" s="88">
        <v>0</v>
      </c>
      <c r="F180" s="89">
        <v>1</v>
      </c>
      <c r="G180" s="43">
        <v>1</v>
      </c>
      <c r="H180" s="43">
        <v>0.35399999999999998</v>
      </c>
      <c r="I180" s="43">
        <v>0.55600000000000005</v>
      </c>
      <c r="J180" s="43">
        <v>0</v>
      </c>
      <c r="K180" s="90">
        <v>0.69</v>
      </c>
      <c r="O180" s="61"/>
      <c r="P180" s="61"/>
      <c r="Q180" s="61"/>
      <c r="R180" s="61"/>
      <c r="S180" s="61"/>
      <c r="T180" s="61"/>
      <c r="U180" s="61"/>
      <c r="V180" s="61"/>
    </row>
    <row r="181" spans="2:22" x14ac:dyDescent="0.25">
      <c r="B181" s="116"/>
      <c r="C181" s="70"/>
      <c r="D181" s="43"/>
      <c r="E181" s="88"/>
      <c r="F181" s="89"/>
      <c r="G181" s="43"/>
      <c r="H181" s="43"/>
      <c r="I181" s="43"/>
      <c r="J181" s="43"/>
      <c r="K181" s="90"/>
      <c r="O181" s="61"/>
      <c r="P181" s="61"/>
      <c r="Q181" s="61"/>
      <c r="R181" s="61"/>
      <c r="S181" s="61"/>
      <c r="T181" s="61"/>
      <c r="U181" s="61"/>
      <c r="V181" s="61"/>
    </row>
    <row r="182" spans="2:22" x14ac:dyDescent="0.25">
      <c r="B182" s="116"/>
      <c r="C182" s="70"/>
      <c r="D182" s="43"/>
      <c r="E182" s="88"/>
      <c r="F182" s="89"/>
      <c r="G182" s="43"/>
      <c r="H182" s="43"/>
      <c r="I182" s="43"/>
      <c r="J182" s="43"/>
      <c r="K182" s="90"/>
      <c r="O182" s="61"/>
      <c r="P182" s="61"/>
      <c r="Q182" s="61"/>
      <c r="R182" s="61"/>
      <c r="S182" s="61"/>
      <c r="T182" s="61"/>
      <c r="U182" s="61"/>
      <c r="V182" s="61"/>
    </row>
    <row r="183" spans="2:22" x14ac:dyDescent="0.25">
      <c r="B183" s="116"/>
      <c r="C183" s="70"/>
      <c r="D183" s="43"/>
      <c r="E183" s="88"/>
      <c r="F183" s="89"/>
      <c r="G183" s="43"/>
      <c r="H183" s="43"/>
      <c r="I183" s="43"/>
      <c r="J183" s="43"/>
      <c r="K183" s="90"/>
      <c r="O183" s="61"/>
      <c r="P183" s="61"/>
      <c r="Q183" s="61"/>
      <c r="R183" s="61"/>
      <c r="S183" s="61"/>
      <c r="T183" s="61"/>
      <c r="U183" s="61"/>
      <c r="V183" s="61"/>
    </row>
    <row r="184" spans="2:22" x14ac:dyDescent="0.25">
      <c r="B184" s="116"/>
      <c r="C184" s="70"/>
      <c r="D184" s="43"/>
      <c r="E184" s="88"/>
      <c r="F184" s="89"/>
      <c r="G184" s="43"/>
      <c r="H184" s="43"/>
      <c r="I184" s="43"/>
      <c r="J184" s="43"/>
      <c r="K184" s="90"/>
      <c r="O184" s="61"/>
      <c r="P184" s="61"/>
      <c r="Q184" s="61"/>
      <c r="R184" s="61"/>
      <c r="S184" s="61"/>
      <c r="T184" s="61"/>
      <c r="U184" s="61"/>
      <c r="V184" s="61"/>
    </row>
    <row r="185" spans="2:22" x14ac:dyDescent="0.25">
      <c r="B185" s="116"/>
      <c r="C185" s="70"/>
      <c r="D185" s="43"/>
      <c r="E185" s="88"/>
      <c r="F185" s="89"/>
      <c r="G185" s="43"/>
      <c r="H185" s="43"/>
      <c r="I185" s="43"/>
      <c r="J185" s="43"/>
      <c r="K185" s="90"/>
      <c r="O185" s="61"/>
      <c r="P185" s="61"/>
      <c r="Q185" s="61"/>
      <c r="R185" s="61"/>
      <c r="S185" s="61"/>
      <c r="T185" s="61"/>
      <c r="U185" s="61"/>
      <c r="V185" s="61"/>
    </row>
    <row r="186" spans="2:22" x14ac:dyDescent="0.25">
      <c r="B186" s="116"/>
      <c r="C186" s="70"/>
      <c r="D186" s="43"/>
      <c r="E186" s="88"/>
      <c r="F186" s="89"/>
      <c r="G186" s="43"/>
      <c r="H186" s="43"/>
      <c r="I186" s="43"/>
      <c r="J186" s="43"/>
      <c r="K186" s="90"/>
      <c r="O186" s="61"/>
      <c r="P186" s="61"/>
      <c r="Q186" s="61"/>
      <c r="R186" s="61"/>
      <c r="S186" s="61"/>
      <c r="T186" s="61"/>
      <c r="U186" s="61"/>
      <c r="V186" s="61"/>
    </row>
    <row r="187" spans="2:22" x14ac:dyDescent="0.25">
      <c r="B187" s="116"/>
      <c r="C187" s="70"/>
      <c r="D187" s="43"/>
      <c r="E187" s="88"/>
      <c r="F187" s="89"/>
      <c r="G187" s="43"/>
      <c r="H187" s="43"/>
      <c r="I187" s="43"/>
      <c r="J187" s="43"/>
      <c r="K187" s="90"/>
      <c r="O187" s="61"/>
      <c r="P187" s="61"/>
      <c r="Q187" s="61"/>
      <c r="R187" s="61"/>
      <c r="S187" s="61"/>
      <c r="T187" s="61"/>
      <c r="U187" s="61"/>
      <c r="V187" s="61"/>
    </row>
    <row r="188" spans="2:22" x14ac:dyDescent="0.25">
      <c r="B188" s="116"/>
      <c r="C188" s="70"/>
      <c r="D188" s="43"/>
      <c r="E188" s="88"/>
      <c r="F188" s="89"/>
      <c r="G188" s="43"/>
      <c r="H188" s="43"/>
      <c r="I188" s="43"/>
      <c r="J188" s="43"/>
      <c r="K188" s="90"/>
      <c r="O188" s="61"/>
      <c r="P188" s="61"/>
      <c r="Q188" s="61"/>
      <c r="R188" s="61"/>
      <c r="S188" s="61"/>
      <c r="T188" s="61"/>
      <c r="U188" s="61"/>
      <c r="V188" s="61"/>
    </row>
    <row r="189" spans="2:22" x14ac:dyDescent="0.25">
      <c r="B189" s="116"/>
      <c r="C189" s="70"/>
      <c r="D189" s="43"/>
      <c r="E189" s="88"/>
      <c r="F189" s="89"/>
      <c r="G189" s="43"/>
      <c r="H189" s="43"/>
      <c r="I189" s="43"/>
      <c r="J189" s="43"/>
      <c r="K189" s="90"/>
    </row>
    <row r="190" spans="2:22" x14ac:dyDescent="0.25">
      <c r="B190" s="116"/>
      <c r="C190" s="70"/>
      <c r="D190" s="43"/>
      <c r="E190" s="88"/>
      <c r="F190" s="89"/>
      <c r="G190" s="43"/>
      <c r="H190" s="43"/>
      <c r="I190" s="43"/>
      <c r="J190" s="43"/>
      <c r="K190" s="90"/>
    </row>
    <row r="191" spans="2:22" x14ac:dyDescent="0.25">
      <c r="B191" s="116"/>
      <c r="C191" s="70"/>
      <c r="D191" s="43"/>
      <c r="E191" s="88"/>
      <c r="F191" s="89"/>
      <c r="G191" s="43"/>
      <c r="H191" s="43"/>
      <c r="I191" s="43"/>
      <c r="J191" s="43"/>
      <c r="K191" s="90"/>
    </row>
    <row r="192" spans="2:22" x14ac:dyDescent="0.25">
      <c r="B192" s="116"/>
      <c r="C192" s="70"/>
      <c r="D192" s="43"/>
      <c r="E192" s="88"/>
      <c r="F192" s="89"/>
      <c r="G192" s="43"/>
      <c r="H192" s="43"/>
      <c r="I192" s="43"/>
      <c r="J192" s="43"/>
      <c r="K192" s="90"/>
    </row>
    <row r="193" spans="2:22" ht="15.75" thickBot="1" x14ac:dyDescent="0.3">
      <c r="B193" s="117"/>
      <c r="C193" s="71"/>
      <c r="D193" s="68"/>
      <c r="E193" s="91"/>
      <c r="F193" s="92"/>
      <c r="G193" s="68"/>
      <c r="H193" s="68"/>
      <c r="I193" s="68"/>
      <c r="J193" s="68"/>
      <c r="K193" s="93"/>
    </row>
    <row r="194" spans="2:22" ht="15" customHeight="1" x14ac:dyDescent="0.25">
      <c r="B194" s="123" t="s">
        <v>100</v>
      </c>
      <c r="C194" s="69">
        <v>0</v>
      </c>
      <c r="D194" s="67">
        <v>2.5</v>
      </c>
      <c r="E194" s="85">
        <v>27.400000000000006</v>
      </c>
      <c r="F194" s="86">
        <v>1</v>
      </c>
      <c r="G194" s="67">
        <v>0.65800000000000003</v>
      </c>
      <c r="H194" s="67">
        <v>0.59199999999999997</v>
      </c>
      <c r="I194" s="67">
        <v>1</v>
      </c>
      <c r="J194" s="67">
        <v>0</v>
      </c>
      <c r="K194" s="87">
        <v>0</v>
      </c>
    </row>
    <row r="195" spans="2:22" x14ac:dyDescent="0.25">
      <c r="B195" s="121"/>
      <c r="C195" s="70">
        <v>19.710000000000012</v>
      </c>
      <c r="D195" s="43">
        <v>2.5</v>
      </c>
      <c r="E195" s="88">
        <v>27.400000000000006</v>
      </c>
      <c r="F195" s="89">
        <v>1</v>
      </c>
      <c r="G195" s="43">
        <v>1</v>
      </c>
      <c r="H195" s="43">
        <v>0.60399999999999998</v>
      </c>
      <c r="I195" s="43">
        <v>1</v>
      </c>
      <c r="J195" s="43">
        <v>0</v>
      </c>
      <c r="K195" s="90">
        <v>0.46200000000000002</v>
      </c>
    </row>
    <row r="196" spans="2:22" x14ac:dyDescent="0.25">
      <c r="B196" s="121"/>
      <c r="C196" s="70">
        <v>20</v>
      </c>
      <c r="D196" s="43">
        <v>2.5</v>
      </c>
      <c r="E196" s="88">
        <v>26.770000000000021</v>
      </c>
      <c r="F196" s="89">
        <v>1</v>
      </c>
      <c r="G196" s="43">
        <v>1</v>
      </c>
      <c r="H196" s="43">
        <v>0.6</v>
      </c>
      <c r="I196" s="43">
        <v>0.99299999999999999</v>
      </c>
      <c r="J196" s="43">
        <v>0</v>
      </c>
      <c r="K196" s="90">
        <v>0.46700000000000003</v>
      </c>
      <c r="O196" s="61"/>
      <c r="P196" s="61"/>
      <c r="Q196" s="61"/>
      <c r="R196" s="61"/>
      <c r="S196" s="61"/>
      <c r="T196" s="61"/>
      <c r="U196" s="61"/>
      <c r="V196" s="61"/>
    </row>
    <row r="197" spans="2:22" x14ac:dyDescent="0.25">
      <c r="B197" s="121"/>
      <c r="C197" s="70">
        <v>22.5</v>
      </c>
      <c r="D197" s="43">
        <v>2.5</v>
      </c>
      <c r="E197" s="88">
        <v>21.330000000000009</v>
      </c>
      <c r="F197" s="89">
        <v>1</v>
      </c>
      <c r="G197" s="43">
        <v>1</v>
      </c>
      <c r="H197" s="43">
        <v>0.56599999999999995</v>
      </c>
      <c r="I197" s="43">
        <v>0.93200000000000005</v>
      </c>
      <c r="J197" s="43">
        <v>0</v>
      </c>
      <c r="K197" s="90">
        <v>0.50900000000000001</v>
      </c>
      <c r="O197" s="61"/>
      <c r="P197" s="61"/>
      <c r="Q197" s="61"/>
      <c r="R197" s="61"/>
      <c r="S197" s="61"/>
      <c r="T197" s="61"/>
      <c r="U197" s="61"/>
      <c r="V197" s="61"/>
    </row>
    <row r="198" spans="2:22" x14ac:dyDescent="0.25">
      <c r="B198" s="121"/>
      <c r="C198" s="70">
        <v>25</v>
      </c>
      <c r="D198" s="43">
        <v>2.5</v>
      </c>
      <c r="E198" s="88">
        <v>15.889999999999995</v>
      </c>
      <c r="F198" s="89">
        <v>1</v>
      </c>
      <c r="G198" s="43">
        <v>1</v>
      </c>
      <c r="H198" s="43">
        <v>0.53200000000000003</v>
      </c>
      <c r="I198" s="43">
        <v>0.872</v>
      </c>
      <c r="J198" s="43">
        <v>0</v>
      </c>
      <c r="K198" s="90">
        <v>0.54800000000000004</v>
      </c>
      <c r="O198" s="61"/>
      <c r="P198" s="61"/>
      <c r="Q198" s="61"/>
      <c r="R198" s="61"/>
      <c r="S198" s="61"/>
      <c r="T198" s="61"/>
      <c r="U198" s="61"/>
      <c r="V198" s="61"/>
    </row>
    <row r="199" spans="2:22" x14ac:dyDescent="0.25">
      <c r="B199" s="121"/>
      <c r="C199" s="70">
        <v>27.5</v>
      </c>
      <c r="D199" s="43">
        <v>2.5</v>
      </c>
      <c r="E199" s="88">
        <v>10.449999999999998</v>
      </c>
      <c r="F199" s="89">
        <v>1</v>
      </c>
      <c r="G199" s="43">
        <v>1</v>
      </c>
      <c r="H199" s="43">
        <v>0.498</v>
      </c>
      <c r="I199" s="43">
        <v>0.81100000000000005</v>
      </c>
      <c r="J199" s="43">
        <v>0</v>
      </c>
      <c r="K199" s="90">
        <v>0.58499999999999996</v>
      </c>
      <c r="O199" s="61"/>
      <c r="P199" s="61"/>
      <c r="Q199" s="61"/>
      <c r="R199" s="61"/>
      <c r="S199" s="61"/>
      <c r="T199" s="61"/>
      <c r="U199" s="61"/>
      <c r="V199" s="61"/>
    </row>
    <row r="200" spans="2:22" x14ac:dyDescent="0.25">
      <c r="B200" s="121"/>
      <c r="C200" s="70">
        <v>30</v>
      </c>
      <c r="D200" s="43">
        <v>2.5</v>
      </c>
      <c r="E200" s="88">
        <v>5.01</v>
      </c>
      <c r="F200" s="89">
        <v>1</v>
      </c>
      <c r="G200" s="43">
        <v>1</v>
      </c>
      <c r="H200" s="43">
        <v>0.46400000000000002</v>
      </c>
      <c r="I200" s="43">
        <v>0.751</v>
      </c>
      <c r="J200" s="43">
        <v>0</v>
      </c>
      <c r="K200" s="90">
        <v>0.62</v>
      </c>
      <c r="O200" s="61"/>
      <c r="P200" s="61"/>
      <c r="Q200" s="61"/>
      <c r="R200" s="61"/>
      <c r="S200" s="61"/>
      <c r="T200" s="61"/>
      <c r="U200" s="61"/>
      <c r="V200" s="61"/>
    </row>
    <row r="201" spans="2:22" x14ac:dyDescent="0.25">
      <c r="B201" s="121"/>
      <c r="C201" s="70">
        <v>32.300000000000004</v>
      </c>
      <c r="D201" s="43">
        <v>2.5</v>
      </c>
      <c r="E201" s="88">
        <v>0</v>
      </c>
      <c r="F201" s="89">
        <v>1</v>
      </c>
      <c r="G201" s="43">
        <v>1</v>
      </c>
      <c r="H201" s="43">
        <v>0.432</v>
      </c>
      <c r="I201" s="43">
        <v>0.69499999999999995</v>
      </c>
      <c r="J201" s="43">
        <v>0</v>
      </c>
      <c r="K201" s="90">
        <v>0.65</v>
      </c>
      <c r="O201" s="61"/>
      <c r="P201" s="61"/>
      <c r="Q201" s="61"/>
      <c r="R201" s="61"/>
      <c r="S201" s="61"/>
      <c r="T201" s="61"/>
      <c r="U201" s="61"/>
      <c r="V201" s="61"/>
    </row>
    <row r="202" spans="2:22" x14ac:dyDescent="0.25">
      <c r="B202" s="121"/>
      <c r="C202" s="70"/>
      <c r="D202" s="43"/>
      <c r="E202" s="88"/>
      <c r="F202" s="89"/>
      <c r="G202" s="43"/>
      <c r="H202" s="43"/>
      <c r="I202" s="43"/>
      <c r="J202" s="43"/>
      <c r="K202" s="90"/>
      <c r="O202" s="61"/>
      <c r="P202" s="61"/>
      <c r="Q202" s="61"/>
      <c r="R202" s="61"/>
      <c r="S202" s="61"/>
      <c r="T202" s="61"/>
      <c r="U202" s="61"/>
      <c r="V202" s="61"/>
    </row>
    <row r="203" spans="2:22" x14ac:dyDescent="0.25">
      <c r="B203" s="121"/>
      <c r="C203" s="70"/>
      <c r="D203" s="43"/>
      <c r="E203" s="88"/>
      <c r="F203" s="89"/>
      <c r="G203" s="43"/>
      <c r="H203" s="43"/>
      <c r="I203" s="43"/>
      <c r="J203" s="43"/>
      <c r="K203" s="90"/>
      <c r="O203" s="61"/>
      <c r="P203" s="61"/>
      <c r="Q203" s="61"/>
      <c r="R203" s="61"/>
      <c r="S203" s="61"/>
      <c r="T203" s="61"/>
      <c r="U203" s="61"/>
      <c r="V203" s="61"/>
    </row>
    <row r="204" spans="2:22" x14ac:dyDescent="0.25">
      <c r="B204" s="121"/>
      <c r="C204" s="70"/>
      <c r="D204" s="43"/>
      <c r="E204" s="88"/>
      <c r="F204" s="89"/>
      <c r="G204" s="43"/>
      <c r="H204" s="43"/>
      <c r="I204" s="43"/>
      <c r="J204" s="43"/>
      <c r="K204" s="90"/>
      <c r="O204" s="61"/>
      <c r="P204" s="61"/>
      <c r="Q204" s="61"/>
      <c r="R204" s="61"/>
      <c r="S204" s="61"/>
      <c r="T204" s="61"/>
      <c r="U204" s="61"/>
      <c r="V204" s="61"/>
    </row>
    <row r="205" spans="2:22" x14ac:dyDescent="0.25">
      <c r="B205" s="121"/>
      <c r="C205" s="70"/>
      <c r="D205" s="43"/>
      <c r="E205" s="88"/>
      <c r="F205" s="89"/>
      <c r="G205" s="43"/>
      <c r="H205" s="43"/>
      <c r="I205" s="43"/>
      <c r="J205" s="43"/>
      <c r="K205" s="90"/>
      <c r="O205" s="61"/>
      <c r="P205" s="61"/>
      <c r="Q205" s="61"/>
      <c r="R205" s="61"/>
      <c r="S205" s="61"/>
      <c r="T205" s="61"/>
      <c r="U205" s="61"/>
      <c r="V205" s="61"/>
    </row>
    <row r="206" spans="2:22" x14ac:dyDescent="0.25">
      <c r="B206" s="121"/>
      <c r="C206" s="70"/>
      <c r="D206" s="43"/>
      <c r="E206" s="88"/>
      <c r="F206" s="89"/>
      <c r="G206" s="43"/>
      <c r="H206" s="43"/>
      <c r="I206" s="43"/>
      <c r="J206" s="43"/>
      <c r="K206" s="90"/>
      <c r="O206" s="61"/>
      <c r="P206" s="61"/>
      <c r="Q206" s="61"/>
      <c r="R206" s="61"/>
      <c r="S206" s="61"/>
      <c r="T206" s="61"/>
      <c r="U206" s="61"/>
      <c r="V206" s="61"/>
    </row>
    <row r="207" spans="2:22" x14ac:dyDescent="0.25">
      <c r="B207" s="121"/>
      <c r="C207" s="70"/>
      <c r="D207" s="43"/>
      <c r="E207" s="88"/>
      <c r="F207" s="89"/>
      <c r="G207" s="43"/>
      <c r="H207" s="43"/>
      <c r="I207" s="43"/>
      <c r="J207" s="43"/>
      <c r="K207" s="90"/>
      <c r="O207" s="61"/>
      <c r="P207" s="61"/>
      <c r="Q207" s="61"/>
      <c r="R207" s="61"/>
      <c r="S207" s="61"/>
      <c r="T207" s="61"/>
      <c r="U207" s="61"/>
      <c r="V207" s="61"/>
    </row>
    <row r="208" spans="2:22" x14ac:dyDescent="0.25">
      <c r="B208" s="121"/>
      <c r="C208" s="70"/>
      <c r="D208" s="43"/>
      <c r="E208" s="88"/>
      <c r="F208" s="89"/>
      <c r="G208" s="43"/>
      <c r="H208" s="43"/>
      <c r="I208" s="43"/>
      <c r="J208" s="43"/>
      <c r="K208" s="90"/>
      <c r="O208" s="61"/>
      <c r="P208" s="61"/>
      <c r="Q208" s="61"/>
      <c r="R208" s="61"/>
      <c r="S208" s="61"/>
      <c r="T208" s="61"/>
      <c r="U208" s="61"/>
      <c r="V208" s="61"/>
    </row>
    <row r="209" spans="2:22" x14ac:dyDescent="0.25">
      <c r="B209" s="121"/>
      <c r="C209" s="70"/>
      <c r="D209" s="43"/>
      <c r="E209" s="88"/>
      <c r="F209" s="89"/>
      <c r="G209" s="43"/>
      <c r="H209" s="43"/>
      <c r="I209" s="43"/>
      <c r="J209" s="43"/>
      <c r="K209" s="90"/>
      <c r="O209" s="61"/>
      <c r="P209" s="61"/>
      <c r="Q209" s="61"/>
      <c r="R209" s="61"/>
      <c r="S209" s="61"/>
      <c r="T209" s="61"/>
      <c r="U209" s="61"/>
      <c r="V209" s="61"/>
    </row>
    <row r="210" spans="2:22" x14ac:dyDescent="0.25">
      <c r="B210" s="121"/>
      <c r="C210" s="70"/>
      <c r="D210" s="43"/>
      <c r="E210" s="88"/>
      <c r="F210" s="89"/>
      <c r="G210" s="43"/>
      <c r="H210" s="43"/>
      <c r="I210" s="43"/>
      <c r="J210" s="43"/>
      <c r="K210" s="90"/>
    </row>
    <row r="211" spans="2:22" x14ac:dyDescent="0.25">
      <c r="B211" s="121"/>
      <c r="C211" s="70"/>
      <c r="D211" s="43"/>
      <c r="E211" s="88"/>
      <c r="F211" s="89"/>
      <c r="G211" s="43"/>
      <c r="H211" s="43"/>
      <c r="I211" s="43"/>
      <c r="J211" s="43"/>
      <c r="K211" s="90"/>
    </row>
    <row r="212" spans="2:22" x14ac:dyDescent="0.25">
      <c r="B212" s="121"/>
      <c r="C212" s="70"/>
      <c r="D212" s="43"/>
      <c r="E212" s="88"/>
      <c r="F212" s="89"/>
      <c r="G212" s="43"/>
      <c r="H212" s="43"/>
      <c r="I212" s="43"/>
      <c r="J212" s="43"/>
      <c r="K212" s="90"/>
    </row>
    <row r="213" spans="2:22" x14ac:dyDescent="0.25">
      <c r="B213" s="121"/>
      <c r="C213" s="70"/>
      <c r="D213" s="43"/>
      <c r="E213" s="88"/>
      <c r="F213" s="89"/>
      <c r="G213" s="43"/>
      <c r="H213" s="43"/>
      <c r="I213" s="43"/>
      <c r="J213" s="43"/>
      <c r="K213" s="90"/>
    </row>
    <row r="214" spans="2:22" x14ac:dyDescent="0.25">
      <c r="B214" s="121"/>
      <c r="C214" s="70"/>
      <c r="D214" s="43"/>
      <c r="E214" s="88"/>
      <c r="F214" s="89"/>
      <c r="G214" s="43"/>
      <c r="H214" s="43"/>
      <c r="I214" s="43"/>
      <c r="J214" s="43"/>
      <c r="K214" s="90"/>
    </row>
    <row r="215" spans="2:22" ht="15.75" thickBot="1" x14ac:dyDescent="0.3">
      <c r="B215" s="122"/>
      <c r="C215" s="71"/>
      <c r="D215" s="68"/>
      <c r="E215" s="91"/>
      <c r="F215" s="92"/>
      <c r="G215" s="68"/>
      <c r="H215" s="68"/>
      <c r="I215" s="68"/>
      <c r="J215" s="68"/>
      <c r="K215" s="93"/>
    </row>
    <row r="216" spans="2:22" x14ac:dyDescent="0.25">
      <c r="B216" s="115" t="s">
        <v>99</v>
      </c>
      <c r="C216" s="69">
        <v>0</v>
      </c>
      <c r="D216" s="67">
        <v>3</v>
      </c>
      <c r="E216" s="85">
        <v>14.899999999999997</v>
      </c>
      <c r="F216" s="86">
        <v>1</v>
      </c>
      <c r="G216" s="67">
        <v>0.65800000000000003</v>
      </c>
      <c r="H216" s="67">
        <v>0.59199999999999997</v>
      </c>
      <c r="I216" s="67">
        <v>1</v>
      </c>
      <c r="J216" s="67">
        <v>0</v>
      </c>
      <c r="K216" s="87">
        <v>0</v>
      </c>
    </row>
    <row r="217" spans="2:22" x14ac:dyDescent="0.25">
      <c r="B217" s="116"/>
      <c r="C217" s="70">
        <v>23.460000000000015</v>
      </c>
      <c r="D217" s="43">
        <v>3</v>
      </c>
      <c r="E217" s="88">
        <v>14.899999999999997</v>
      </c>
      <c r="F217" s="89">
        <v>1</v>
      </c>
      <c r="G217" s="43">
        <v>1</v>
      </c>
      <c r="H217" s="43">
        <v>0.60399999999999998</v>
      </c>
      <c r="I217" s="43">
        <v>1</v>
      </c>
      <c r="J217" s="43">
        <v>0</v>
      </c>
      <c r="K217" s="90">
        <v>0.51200000000000001</v>
      </c>
    </row>
    <row r="218" spans="2:22" x14ac:dyDescent="0.25">
      <c r="B218" s="116"/>
      <c r="C218" s="70">
        <v>25</v>
      </c>
      <c r="D218" s="43">
        <v>3</v>
      </c>
      <c r="E218" s="88">
        <v>11.549999999999997</v>
      </c>
      <c r="F218" s="89">
        <v>1</v>
      </c>
      <c r="G218" s="43">
        <v>1</v>
      </c>
      <c r="H218" s="43">
        <v>0.58299999999999996</v>
      </c>
      <c r="I218" s="43">
        <v>0.96299999999999997</v>
      </c>
      <c r="J218" s="43">
        <v>0</v>
      </c>
      <c r="K218" s="90">
        <v>0.53500000000000003</v>
      </c>
      <c r="O218" s="61"/>
      <c r="P218" s="61"/>
      <c r="Q218" s="61"/>
      <c r="R218" s="61"/>
      <c r="S218" s="61"/>
      <c r="T218" s="61"/>
      <c r="U218" s="61"/>
      <c r="V218" s="61"/>
    </row>
    <row r="219" spans="2:22" x14ac:dyDescent="0.25">
      <c r="B219" s="116"/>
      <c r="C219" s="70">
        <v>27.5</v>
      </c>
      <c r="D219" s="43">
        <v>3</v>
      </c>
      <c r="E219" s="88">
        <v>6.1099999999999994</v>
      </c>
      <c r="F219" s="89">
        <v>1</v>
      </c>
      <c r="G219" s="43">
        <v>1</v>
      </c>
      <c r="H219" s="43">
        <v>0.54900000000000004</v>
      </c>
      <c r="I219" s="43">
        <v>0.90200000000000002</v>
      </c>
      <c r="J219" s="43">
        <v>0</v>
      </c>
      <c r="K219" s="90">
        <v>0.57199999999999995</v>
      </c>
      <c r="O219" s="61"/>
      <c r="P219" s="61"/>
      <c r="Q219" s="61"/>
      <c r="R219" s="61"/>
      <c r="S219" s="61"/>
      <c r="T219" s="61"/>
      <c r="U219" s="61"/>
      <c r="V219" s="61"/>
    </row>
    <row r="220" spans="2:22" x14ac:dyDescent="0.25">
      <c r="B220" s="116"/>
      <c r="C220" s="70">
        <v>30</v>
      </c>
      <c r="D220" s="43">
        <v>3</v>
      </c>
      <c r="E220" s="88">
        <v>0.67</v>
      </c>
      <c r="F220" s="89">
        <v>1</v>
      </c>
      <c r="G220" s="43">
        <v>1</v>
      </c>
      <c r="H220" s="43">
        <v>0.51500000000000001</v>
      </c>
      <c r="I220" s="43">
        <v>0.84199999999999997</v>
      </c>
      <c r="J220" s="43">
        <v>0</v>
      </c>
      <c r="K220" s="90">
        <v>0.60599999999999998</v>
      </c>
      <c r="O220" s="61"/>
      <c r="P220" s="61"/>
      <c r="Q220" s="61"/>
      <c r="R220" s="61"/>
      <c r="S220" s="61"/>
      <c r="T220" s="61"/>
      <c r="U220" s="61"/>
      <c r="V220" s="61"/>
    </row>
    <row r="221" spans="2:22" x14ac:dyDescent="0.25">
      <c r="B221" s="116"/>
      <c r="C221" s="70">
        <v>30.300000000000004</v>
      </c>
      <c r="D221" s="43">
        <v>3</v>
      </c>
      <c r="E221" s="88">
        <v>0</v>
      </c>
      <c r="F221" s="89">
        <v>1</v>
      </c>
      <c r="G221" s="43">
        <v>1</v>
      </c>
      <c r="H221" s="43">
        <v>0.51100000000000001</v>
      </c>
      <c r="I221" s="43">
        <v>0.83399999999999996</v>
      </c>
      <c r="J221" s="43">
        <v>0</v>
      </c>
      <c r="K221" s="90">
        <v>0.61</v>
      </c>
      <c r="O221" s="61"/>
      <c r="P221" s="61"/>
      <c r="Q221" s="61"/>
      <c r="R221" s="61"/>
      <c r="S221" s="61"/>
      <c r="T221" s="61"/>
      <c r="U221" s="61"/>
      <c r="V221" s="61"/>
    </row>
    <row r="222" spans="2:22" x14ac:dyDescent="0.25">
      <c r="B222" s="116"/>
      <c r="C222" s="70"/>
      <c r="D222" s="43"/>
      <c r="E222" s="88"/>
      <c r="F222" s="89"/>
      <c r="G222" s="43"/>
      <c r="H222" s="43"/>
      <c r="I222" s="43"/>
      <c r="J222" s="43"/>
      <c r="K222" s="90"/>
      <c r="O222" s="61"/>
      <c r="P222" s="61"/>
      <c r="Q222" s="61"/>
      <c r="R222" s="61"/>
      <c r="S222" s="61"/>
      <c r="T222" s="61"/>
      <c r="U222" s="61"/>
      <c r="V222" s="61"/>
    </row>
    <row r="223" spans="2:22" x14ac:dyDescent="0.25">
      <c r="B223" s="116"/>
      <c r="C223" s="70"/>
      <c r="D223" s="43"/>
      <c r="E223" s="88"/>
      <c r="F223" s="89"/>
      <c r="G223" s="43"/>
      <c r="H223" s="43"/>
      <c r="I223" s="43"/>
      <c r="J223" s="43"/>
      <c r="K223" s="90"/>
      <c r="O223" s="61"/>
      <c r="P223" s="61"/>
      <c r="Q223" s="61"/>
      <c r="R223" s="61"/>
      <c r="S223" s="61"/>
      <c r="T223" s="61"/>
      <c r="U223" s="61"/>
      <c r="V223" s="61"/>
    </row>
    <row r="224" spans="2:22" x14ac:dyDescent="0.25">
      <c r="B224" s="116"/>
      <c r="C224" s="70"/>
      <c r="D224" s="43"/>
      <c r="E224" s="88"/>
      <c r="F224" s="89"/>
      <c r="G224" s="43"/>
      <c r="H224" s="43"/>
      <c r="I224" s="43"/>
      <c r="J224" s="43"/>
      <c r="K224" s="90"/>
      <c r="O224" s="61"/>
      <c r="P224" s="61"/>
      <c r="Q224" s="61"/>
      <c r="R224" s="61"/>
      <c r="S224" s="61"/>
      <c r="T224" s="61"/>
      <c r="U224" s="61"/>
      <c r="V224" s="61"/>
    </row>
    <row r="225" spans="2:22" x14ac:dyDescent="0.25">
      <c r="B225" s="116"/>
      <c r="C225" s="70"/>
      <c r="D225" s="43"/>
      <c r="E225" s="88"/>
      <c r="F225" s="89"/>
      <c r="G225" s="43"/>
      <c r="H225" s="43"/>
      <c r="I225" s="43"/>
      <c r="J225" s="43"/>
      <c r="K225" s="90"/>
      <c r="O225" s="61"/>
      <c r="P225" s="61"/>
      <c r="Q225" s="61"/>
      <c r="R225" s="61"/>
      <c r="S225" s="61"/>
      <c r="T225" s="61"/>
      <c r="U225" s="61"/>
      <c r="V225" s="61"/>
    </row>
    <row r="226" spans="2:22" x14ac:dyDescent="0.25">
      <c r="B226" s="116"/>
      <c r="C226" s="70"/>
      <c r="D226" s="43"/>
      <c r="E226" s="88"/>
      <c r="F226" s="89"/>
      <c r="G226" s="43"/>
      <c r="H226" s="43"/>
      <c r="I226" s="43"/>
      <c r="J226" s="43"/>
      <c r="K226" s="90"/>
      <c r="O226" s="61"/>
      <c r="P226" s="61"/>
      <c r="Q226" s="61"/>
      <c r="R226" s="61"/>
      <c r="S226" s="61"/>
      <c r="T226" s="61"/>
      <c r="U226" s="61"/>
      <c r="V226" s="61"/>
    </row>
    <row r="227" spans="2:22" x14ac:dyDescent="0.25">
      <c r="B227" s="116"/>
      <c r="C227" s="70"/>
      <c r="D227" s="43"/>
      <c r="E227" s="88"/>
      <c r="F227" s="89"/>
      <c r="G227" s="43"/>
      <c r="H227" s="43"/>
      <c r="I227" s="43"/>
      <c r="J227" s="43"/>
      <c r="K227" s="90"/>
      <c r="O227" s="61"/>
      <c r="P227" s="61"/>
      <c r="Q227" s="61"/>
      <c r="R227" s="61"/>
      <c r="S227" s="61"/>
      <c r="T227" s="61"/>
      <c r="U227" s="61"/>
      <c r="V227" s="61"/>
    </row>
    <row r="228" spans="2:22" x14ac:dyDescent="0.25">
      <c r="B228" s="116"/>
      <c r="C228" s="70"/>
      <c r="D228" s="43"/>
      <c r="E228" s="88"/>
      <c r="F228" s="89"/>
      <c r="G228" s="43"/>
      <c r="H228" s="43"/>
      <c r="I228" s="43"/>
      <c r="J228" s="43"/>
      <c r="K228" s="90"/>
      <c r="O228" s="61"/>
      <c r="P228" s="61"/>
      <c r="Q228" s="61"/>
      <c r="R228" s="61"/>
      <c r="S228" s="61"/>
      <c r="T228" s="61"/>
      <c r="U228" s="61"/>
      <c r="V228" s="61"/>
    </row>
    <row r="229" spans="2:22" x14ac:dyDescent="0.25">
      <c r="B229" s="116"/>
      <c r="C229" s="70"/>
      <c r="D229" s="43"/>
      <c r="E229" s="88"/>
      <c r="F229" s="89"/>
      <c r="G229" s="43"/>
      <c r="H229" s="43"/>
      <c r="I229" s="43"/>
      <c r="J229" s="43"/>
      <c r="K229" s="90"/>
      <c r="O229" s="61"/>
      <c r="P229" s="61"/>
      <c r="Q229" s="61"/>
      <c r="R229" s="61"/>
      <c r="S229" s="61"/>
      <c r="T229" s="61"/>
      <c r="U229" s="61"/>
      <c r="V229" s="61"/>
    </row>
    <row r="230" spans="2:22" x14ac:dyDescent="0.25">
      <c r="B230" s="116"/>
      <c r="C230" s="70"/>
      <c r="D230" s="43"/>
      <c r="E230" s="88"/>
      <c r="F230" s="89"/>
      <c r="G230" s="43"/>
      <c r="H230" s="43"/>
      <c r="I230" s="43"/>
      <c r="J230" s="43"/>
      <c r="K230" s="90"/>
      <c r="O230" s="61"/>
      <c r="P230" s="61"/>
      <c r="Q230" s="61"/>
      <c r="R230" s="61"/>
      <c r="S230" s="61"/>
      <c r="T230" s="61"/>
      <c r="U230" s="61"/>
      <c r="V230" s="61"/>
    </row>
    <row r="231" spans="2:22" x14ac:dyDescent="0.25">
      <c r="B231" s="116"/>
      <c r="C231" s="70"/>
      <c r="D231" s="43"/>
      <c r="E231" s="88"/>
      <c r="F231" s="89"/>
      <c r="G231" s="43"/>
      <c r="H231" s="43"/>
      <c r="I231" s="43"/>
      <c r="J231" s="43"/>
      <c r="K231" s="90"/>
      <c r="O231" s="61"/>
      <c r="P231" s="61"/>
      <c r="Q231" s="61"/>
      <c r="R231" s="61"/>
      <c r="S231" s="61"/>
      <c r="T231" s="61"/>
      <c r="U231" s="61"/>
      <c r="V231" s="61"/>
    </row>
    <row r="232" spans="2:22" x14ac:dyDescent="0.25">
      <c r="B232" s="116"/>
      <c r="C232" s="70"/>
      <c r="D232" s="43"/>
      <c r="E232" s="88"/>
      <c r="F232" s="89"/>
      <c r="G232" s="43"/>
      <c r="H232" s="43"/>
      <c r="I232" s="43"/>
      <c r="J232" s="43"/>
      <c r="K232" s="90"/>
    </row>
    <row r="233" spans="2:22" x14ac:dyDescent="0.25">
      <c r="B233" s="116"/>
      <c r="C233" s="70"/>
      <c r="D233" s="43"/>
      <c r="E233" s="88"/>
      <c r="F233" s="89"/>
      <c r="G233" s="43"/>
      <c r="H233" s="43"/>
      <c r="I233" s="43"/>
      <c r="J233" s="43"/>
      <c r="K233" s="90"/>
    </row>
    <row r="234" spans="2:22" x14ac:dyDescent="0.25">
      <c r="B234" s="116"/>
      <c r="C234" s="70"/>
      <c r="D234" s="43"/>
      <c r="E234" s="88"/>
      <c r="F234" s="89"/>
      <c r="G234" s="43"/>
      <c r="H234" s="43"/>
      <c r="I234" s="43"/>
      <c r="J234" s="43"/>
      <c r="K234" s="90"/>
    </row>
    <row r="235" spans="2:22" x14ac:dyDescent="0.25">
      <c r="B235" s="116"/>
      <c r="C235" s="70"/>
      <c r="D235" s="43"/>
      <c r="E235" s="88"/>
      <c r="F235" s="89"/>
      <c r="G235" s="43"/>
      <c r="H235" s="43"/>
      <c r="I235" s="43"/>
      <c r="J235" s="43"/>
      <c r="K235" s="90"/>
    </row>
    <row r="236" spans="2:22" x14ac:dyDescent="0.25">
      <c r="B236" s="116"/>
      <c r="C236" s="70"/>
      <c r="D236" s="43"/>
      <c r="E236" s="88"/>
      <c r="F236" s="89"/>
      <c r="G236" s="43"/>
      <c r="H236" s="43"/>
      <c r="I236" s="43"/>
      <c r="J236" s="43"/>
      <c r="K236" s="90"/>
    </row>
    <row r="237" spans="2:22" ht="15.75" thickBot="1" x14ac:dyDescent="0.3">
      <c r="B237" s="117"/>
      <c r="C237" s="71"/>
      <c r="D237" s="68"/>
      <c r="E237" s="91"/>
      <c r="F237" s="92"/>
      <c r="G237" s="68"/>
      <c r="H237" s="68"/>
      <c r="I237" s="68"/>
      <c r="J237" s="68"/>
      <c r="K237" s="93"/>
    </row>
  </sheetData>
  <dataConsolidate/>
  <mergeCells count="33">
    <mergeCell ref="B37:H37"/>
    <mergeCell ref="I47:I53"/>
    <mergeCell ref="J47:J53"/>
    <mergeCell ref="G47:G53"/>
    <mergeCell ref="H47:H53"/>
    <mergeCell ref="K47:K53"/>
    <mergeCell ref="K45:O45"/>
    <mergeCell ref="B35:H35"/>
    <mergeCell ref="B216:B237"/>
    <mergeCell ref="B54:B75"/>
    <mergeCell ref="B47:B53"/>
    <mergeCell ref="B76:B97"/>
    <mergeCell ref="B98:B127"/>
    <mergeCell ref="B194:B215"/>
    <mergeCell ref="B172:B193"/>
    <mergeCell ref="B150:B171"/>
    <mergeCell ref="B128:B149"/>
    <mergeCell ref="C47:C52"/>
    <mergeCell ref="D47:D52"/>
    <mergeCell ref="E47:E52"/>
    <mergeCell ref="F47:F53"/>
    <mergeCell ref="C13:F13"/>
    <mergeCell ref="C14:F14"/>
    <mergeCell ref="C15:F15"/>
    <mergeCell ref="B34:H34"/>
    <mergeCell ref="B36:H36"/>
    <mergeCell ref="B30:H30"/>
    <mergeCell ref="B31:H31"/>
    <mergeCell ref="C20:E20"/>
    <mergeCell ref="F20:M20"/>
    <mergeCell ref="F21:F22"/>
    <mergeCell ref="G21:G22"/>
    <mergeCell ref="B20:B22"/>
  </mergeCells>
  <dataValidations disablePrompts="1" count="4">
    <dataValidation type="list" allowBlank="1" showInputMessage="1" showErrorMessage="1" sqref="C15:F15">
      <mc:AlternateContent xmlns:x12ac="http://schemas.microsoft.com/office/spreadsheetml/2011/1/ac" xmlns:mc="http://schemas.openxmlformats.org/markup-compatibility/2006">
        <mc:Choice Requires="x12ac">
          <x12ac:list>"слой бетонированния &lt;1,5м/ concreting layer &lt;1,5m","слой бетонированния &gt;1,5м / concreting layer &gt;1,5m"</x12ac:list>
        </mc:Choice>
        <mc:Fallback>
          <formula1>"слой бетонированния &lt;1,5м/ concreting layer &lt;1,5m,слой бетонированния &gt;1,5м / concreting layer &gt;1,5m"</formula1>
        </mc:Fallback>
      </mc:AlternateContent>
    </dataValidation>
    <dataValidation type="list" allowBlank="1" showInputMessage="1" showErrorMessage="1" sqref="C13:F13">
      <formula1>"железобетонный элемент / reinforced concrete,бетонный элемент / concrete"</formula1>
    </dataValidation>
    <dataValidation type="list" allowBlank="1" showInputMessage="1" showErrorMessage="1" sqref="C14:F14">
      <formula1>"длительные нагрузки / long-term load,кратковременные нагрузки / short-term load"</formula1>
    </dataValidation>
    <dataValidation type="list" allowBlank="1" showInputMessage="1" showErrorMessage="1" sqref="K45:O45">
      <formula1>"compression zone of concrete / сжатая зона бетона,tensile zone of concrete / растянутая зона бетона"</formula1>
    </dataValidation>
  </dataValidations>
  <pageMargins left="0.78740157480314965" right="0.39370078740157483" top="0.39370078740157483" bottom="0.39370078740157483" header="0" footer="0"/>
  <pageSetup paperSize="9" scale="5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'Factored parameters'!$A$44:$A$52</xm:f>
          </x14:formula1>
          <xm:sqref>C19 F7</xm:sqref>
        </x14:dataValidation>
        <x14:dataValidation type="list" allowBlank="1" showInputMessage="1" showErrorMessage="1">
          <x14:formula1>
            <xm:f>'Factored parameters'!$A$4:$A$10</xm:f>
          </x14:formula1>
          <xm:sqref>F5</xm:sqref>
        </x14:dataValidation>
        <x14:dataValidation type="list" allowBlank="1" showInputMessage="1" showErrorMessage="1">
          <x14:formula1>
            <xm:f>'Factored parameters'!$A$18:$A$39</xm:f>
          </x14:formula1>
          <xm:sqref>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D53"/>
  <sheetViews>
    <sheetView workbookViewId="0">
      <selection activeCell="E55" sqref="E55"/>
    </sheetView>
  </sheetViews>
  <sheetFormatPr defaultRowHeight="15" x14ac:dyDescent="0.25"/>
  <cols>
    <col min="1" max="1" width="21" customWidth="1"/>
    <col min="2" max="2" width="17" customWidth="1"/>
    <col min="3" max="3" width="10.5703125" customWidth="1"/>
    <col min="4" max="4" width="13" customWidth="1"/>
    <col min="5" max="5" width="17" customWidth="1"/>
    <col min="8" max="8" width="15" customWidth="1"/>
    <col min="13" max="13" width="19.140625" bestFit="1" customWidth="1"/>
    <col min="14" max="14" width="19.140625" customWidth="1"/>
    <col min="15" max="15" width="16.7109375" customWidth="1"/>
    <col min="16" max="37" width="6.42578125" customWidth="1"/>
  </cols>
  <sheetData>
    <row r="2" spans="1:29" x14ac:dyDescent="0.25">
      <c r="A2" s="139" t="s">
        <v>6</v>
      </c>
      <c r="B2" s="140"/>
      <c r="C2" s="140"/>
      <c r="D2" s="140"/>
      <c r="E2" s="140"/>
      <c r="F2" s="141"/>
    </row>
    <row r="3" spans="1:29" x14ac:dyDescent="0.25">
      <c r="A3" s="4" t="s">
        <v>52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</row>
    <row r="4" spans="1:29" x14ac:dyDescent="0.25">
      <c r="A4" s="4" t="s">
        <v>0</v>
      </c>
      <c r="B4" s="4">
        <v>210</v>
      </c>
      <c r="C4" s="4">
        <v>210</v>
      </c>
      <c r="D4" s="4">
        <v>170</v>
      </c>
      <c r="E4" s="4">
        <v>240</v>
      </c>
      <c r="F4" s="4">
        <v>200000</v>
      </c>
    </row>
    <row r="5" spans="1:29" x14ac:dyDescent="0.25">
      <c r="A5" s="4" t="s">
        <v>7</v>
      </c>
      <c r="B5" s="4">
        <v>350</v>
      </c>
      <c r="C5" s="4">
        <v>350</v>
      </c>
      <c r="D5" s="4">
        <v>280</v>
      </c>
      <c r="E5" s="4">
        <v>400</v>
      </c>
      <c r="F5" s="4">
        <v>200000</v>
      </c>
    </row>
    <row r="6" spans="1:29" x14ac:dyDescent="0.25">
      <c r="A6" s="4" t="s">
        <v>8</v>
      </c>
      <c r="B6" s="4">
        <v>435</v>
      </c>
      <c r="C6" s="4">
        <v>435</v>
      </c>
      <c r="D6" s="4">
        <v>300</v>
      </c>
      <c r="E6" s="4">
        <v>500</v>
      </c>
      <c r="F6" s="4">
        <v>200000</v>
      </c>
    </row>
    <row r="7" spans="1:29" x14ac:dyDescent="0.25">
      <c r="A7" s="4" t="s">
        <v>9</v>
      </c>
      <c r="B7" s="4">
        <v>520</v>
      </c>
      <c r="C7" s="4">
        <v>470</v>
      </c>
      <c r="D7" s="4">
        <v>300</v>
      </c>
      <c r="E7" s="4">
        <v>600</v>
      </c>
      <c r="F7" s="4">
        <v>200000</v>
      </c>
    </row>
    <row r="8" spans="1:29" x14ac:dyDescent="0.25">
      <c r="A8" s="4" t="s">
        <v>10</v>
      </c>
      <c r="B8" s="4">
        <v>520</v>
      </c>
      <c r="C8" s="4">
        <v>500</v>
      </c>
      <c r="D8" s="4">
        <v>300</v>
      </c>
      <c r="E8" s="4">
        <v>600</v>
      </c>
      <c r="F8" s="4">
        <v>200000</v>
      </c>
    </row>
    <row r="9" spans="1:29" x14ac:dyDescent="0.25">
      <c r="A9" s="4" t="s">
        <v>11</v>
      </c>
      <c r="B9" s="4">
        <v>435</v>
      </c>
      <c r="C9" s="4">
        <v>415</v>
      </c>
      <c r="D9" s="4">
        <v>300</v>
      </c>
      <c r="E9" s="4">
        <v>500</v>
      </c>
      <c r="F9" s="4">
        <v>200000</v>
      </c>
    </row>
    <row r="10" spans="1:29" x14ac:dyDescent="0.25">
      <c r="A10" s="4" t="s">
        <v>12</v>
      </c>
      <c r="B10" s="4">
        <v>415</v>
      </c>
      <c r="C10" s="4">
        <v>390</v>
      </c>
      <c r="D10" s="4">
        <v>300</v>
      </c>
      <c r="E10" s="4">
        <v>500</v>
      </c>
      <c r="F10" s="4">
        <v>200000</v>
      </c>
    </row>
    <row r="14" spans="1:29" x14ac:dyDescent="0.25">
      <c r="A14" s="3"/>
      <c r="B14" s="139" t="s">
        <v>43</v>
      </c>
      <c r="C14" s="140"/>
      <c r="D14" s="140"/>
      <c r="E14" s="140"/>
      <c r="F14" s="140"/>
      <c r="G14" s="141"/>
      <c r="H14" s="137" t="s">
        <v>50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</row>
    <row r="15" spans="1:29" ht="15" customHeight="1" x14ac:dyDescent="0.25">
      <c r="A15" s="142" t="s">
        <v>18</v>
      </c>
      <c r="B15" s="144" t="s">
        <v>14</v>
      </c>
      <c r="C15" s="145"/>
      <c r="D15" s="146"/>
      <c r="E15" s="144" t="s">
        <v>41</v>
      </c>
      <c r="F15" s="145"/>
      <c r="G15" s="146"/>
      <c r="H15" s="13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ht="15" customHeight="1" x14ac:dyDescent="0.25">
      <c r="A16" s="143"/>
      <c r="B16" s="144" t="s">
        <v>44</v>
      </c>
      <c r="C16" s="145"/>
      <c r="D16" s="146"/>
      <c r="E16" s="144" t="s">
        <v>45</v>
      </c>
      <c r="F16" s="145"/>
      <c r="G16" s="146"/>
      <c r="H16" s="5" t="s">
        <v>49</v>
      </c>
      <c r="K16" s="7"/>
      <c r="L16" s="7"/>
      <c r="M16" s="7"/>
      <c r="N16" s="7"/>
      <c r="O16" s="7"/>
      <c r="P16" s="7"/>
      <c r="Q16" s="7"/>
      <c r="R16" s="7"/>
      <c r="S16" s="7"/>
      <c r="T16" s="8"/>
      <c r="U16" s="8"/>
      <c r="V16" s="8"/>
      <c r="W16" s="8"/>
      <c r="X16" s="8"/>
      <c r="Y16" s="8"/>
      <c r="Z16" s="8"/>
      <c r="AA16" s="8"/>
      <c r="AB16" s="8"/>
      <c r="AC16" s="8"/>
    </row>
    <row r="17" spans="1:30" ht="58.5" customHeight="1" x14ac:dyDescent="0.25">
      <c r="A17" s="9" t="s">
        <v>13</v>
      </c>
      <c r="B17" s="10" t="s">
        <v>15</v>
      </c>
      <c r="C17" s="10" t="s">
        <v>16</v>
      </c>
      <c r="D17" s="10" t="s">
        <v>17</v>
      </c>
      <c r="E17" s="10" t="s">
        <v>15</v>
      </c>
      <c r="F17" s="10" t="s">
        <v>16</v>
      </c>
      <c r="G17" s="10" t="s">
        <v>17</v>
      </c>
      <c r="H17" s="6" t="s">
        <v>42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8"/>
      <c r="X17" s="8"/>
      <c r="Y17" s="8"/>
      <c r="Z17" s="8"/>
      <c r="AA17" s="8"/>
      <c r="AB17" s="8"/>
      <c r="AC17" s="8"/>
    </row>
    <row r="18" spans="1:30" x14ac:dyDescent="0.25">
      <c r="A18" s="5" t="s">
        <v>19</v>
      </c>
      <c r="B18" s="13"/>
      <c r="C18" s="13"/>
      <c r="D18" s="14">
        <v>0.95</v>
      </c>
      <c r="E18" s="13"/>
      <c r="F18" s="13"/>
      <c r="G18" s="14">
        <v>0.09</v>
      </c>
      <c r="H18" s="15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8"/>
      <c r="X18" s="8"/>
      <c r="Y18" s="8"/>
      <c r="Z18" s="8"/>
      <c r="AA18" s="8"/>
      <c r="AB18" s="8"/>
      <c r="AC18" s="8"/>
    </row>
    <row r="19" spans="1:30" x14ac:dyDescent="0.25">
      <c r="A19" s="5" t="s">
        <v>20</v>
      </c>
      <c r="B19" s="13"/>
      <c r="C19" s="13"/>
      <c r="D19" s="14">
        <v>1.3</v>
      </c>
      <c r="E19" s="13"/>
      <c r="F19" s="13"/>
      <c r="G19" s="14">
        <v>0.12</v>
      </c>
      <c r="H19" s="1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1:30" x14ac:dyDescent="0.25">
      <c r="A20" s="5" t="s">
        <v>22</v>
      </c>
      <c r="B20" s="13"/>
      <c r="C20" s="14">
        <v>1.5</v>
      </c>
      <c r="D20" s="14">
        <v>1.6</v>
      </c>
      <c r="E20" s="13"/>
      <c r="F20" s="14">
        <v>0.2</v>
      </c>
      <c r="G20" s="14">
        <v>0.14000000000000001</v>
      </c>
      <c r="H20" s="15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30" x14ac:dyDescent="0.25">
      <c r="A21" s="5" t="s">
        <v>23</v>
      </c>
      <c r="B21" s="14">
        <v>2.1</v>
      </c>
      <c r="C21" s="14">
        <v>2.1</v>
      </c>
      <c r="D21" s="14">
        <v>2.2000000000000002</v>
      </c>
      <c r="E21" s="14">
        <v>0.26</v>
      </c>
      <c r="F21" s="14">
        <v>0.26</v>
      </c>
      <c r="G21" s="14">
        <v>0.18</v>
      </c>
      <c r="H21" s="16">
        <v>9.5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</row>
    <row r="22" spans="1:30" x14ac:dyDescent="0.25">
      <c r="A22" s="5" t="s">
        <v>21</v>
      </c>
      <c r="B22" s="14">
        <v>2.8</v>
      </c>
      <c r="C22" s="14">
        <v>2.8</v>
      </c>
      <c r="D22" s="14">
        <v>3.1</v>
      </c>
      <c r="E22" s="14">
        <v>0.37</v>
      </c>
      <c r="F22" s="14">
        <v>0.37</v>
      </c>
      <c r="G22" s="14">
        <v>0.24</v>
      </c>
      <c r="H22" s="16">
        <v>13</v>
      </c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30" x14ac:dyDescent="0.25">
      <c r="A23" s="5" t="s">
        <v>24</v>
      </c>
      <c r="B23" s="14">
        <v>4.5</v>
      </c>
      <c r="C23" s="14">
        <v>4.5</v>
      </c>
      <c r="D23" s="14">
        <v>4.5999999999999996</v>
      </c>
      <c r="E23" s="14">
        <v>0.48</v>
      </c>
      <c r="F23" s="14">
        <v>0.48</v>
      </c>
      <c r="G23" s="14">
        <v>0.28000000000000003</v>
      </c>
      <c r="H23" s="16">
        <v>16</v>
      </c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30" x14ac:dyDescent="0.25">
      <c r="A24" s="5" t="s">
        <v>25</v>
      </c>
      <c r="B24" s="14">
        <v>6</v>
      </c>
      <c r="C24" s="14">
        <v>6</v>
      </c>
      <c r="D24" s="14">
        <v>6</v>
      </c>
      <c r="E24" s="14">
        <v>0.56000000000000005</v>
      </c>
      <c r="F24" s="14">
        <v>0.56000000000000005</v>
      </c>
      <c r="G24" s="14">
        <v>0.39</v>
      </c>
      <c r="H24" s="16">
        <v>19</v>
      </c>
      <c r="K24" s="8"/>
      <c r="L24" s="7"/>
      <c r="M24" s="7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30" x14ac:dyDescent="0.25">
      <c r="A25" s="5" t="s">
        <v>26</v>
      </c>
      <c r="B25" s="14">
        <v>7.5</v>
      </c>
      <c r="C25" s="14">
        <v>7.5</v>
      </c>
      <c r="D25" s="14">
        <v>7</v>
      </c>
      <c r="E25" s="14">
        <v>0.66</v>
      </c>
      <c r="F25" s="14">
        <v>0.66</v>
      </c>
      <c r="G25" s="14">
        <v>0.44</v>
      </c>
      <c r="H25" s="16">
        <v>21.5</v>
      </c>
      <c r="K25" s="8"/>
      <c r="L25" s="7"/>
      <c r="M25" s="7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30" x14ac:dyDescent="0.25">
      <c r="A26" s="5" t="s">
        <v>27</v>
      </c>
      <c r="B26" s="14">
        <v>8.5</v>
      </c>
      <c r="C26" s="14">
        <v>8.5</v>
      </c>
      <c r="D26" s="14">
        <v>7.7</v>
      </c>
      <c r="E26" s="14">
        <v>0.75</v>
      </c>
      <c r="F26" s="14">
        <v>0.75</v>
      </c>
      <c r="G26" s="14">
        <v>0.46</v>
      </c>
      <c r="H26" s="16">
        <v>24</v>
      </c>
      <c r="K26" s="8"/>
      <c r="L26" s="7"/>
      <c r="M26" s="7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30" x14ac:dyDescent="0.25">
      <c r="A27" s="5" t="s">
        <v>28</v>
      </c>
      <c r="B27" s="14">
        <v>11.5</v>
      </c>
      <c r="C27" s="14">
        <v>11.5</v>
      </c>
      <c r="D27" s="13"/>
      <c r="E27" s="14">
        <v>0.9</v>
      </c>
      <c r="F27" s="14">
        <v>0.9</v>
      </c>
      <c r="G27" s="13"/>
      <c r="H27" s="16">
        <v>27.5</v>
      </c>
      <c r="K27" s="8"/>
      <c r="L27" s="7"/>
      <c r="M27" s="7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30" x14ac:dyDescent="0.25">
      <c r="A28" s="5" t="s">
        <v>29</v>
      </c>
      <c r="B28" s="14">
        <v>14.5</v>
      </c>
      <c r="C28" s="14">
        <v>14.5</v>
      </c>
      <c r="D28" s="13"/>
      <c r="E28" s="14">
        <v>1.05</v>
      </c>
      <c r="F28" s="14">
        <v>1.05</v>
      </c>
      <c r="G28" s="13"/>
      <c r="H28" s="16">
        <v>30</v>
      </c>
      <c r="K28" s="8"/>
      <c r="L28" s="7"/>
      <c r="M28" s="7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30" x14ac:dyDescent="0.25">
      <c r="A29" s="5" t="s">
        <v>30</v>
      </c>
      <c r="B29" s="14">
        <v>17</v>
      </c>
      <c r="C29" s="14">
        <v>17</v>
      </c>
      <c r="D29" s="13"/>
      <c r="E29" s="14">
        <v>1.1499999999999999</v>
      </c>
      <c r="F29" s="14">
        <v>1.1499999999999999</v>
      </c>
      <c r="G29" s="13"/>
      <c r="H29" s="16">
        <v>32.5</v>
      </c>
      <c r="K29" s="8"/>
      <c r="L29" s="7"/>
      <c r="M29" s="7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30" x14ac:dyDescent="0.25">
      <c r="A30" s="5" t="s">
        <v>31</v>
      </c>
      <c r="B30" s="14">
        <v>19.5</v>
      </c>
      <c r="C30" s="14">
        <v>19.5</v>
      </c>
      <c r="D30" s="13"/>
      <c r="E30" s="14">
        <v>1.3</v>
      </c>
      <c r="F30" s="14">
        <v>1.3</v>
      </c>
      <c r="G30" s="13"/>
      <c r="H30" s="16">
        <v>34.5</v>
      </c>
      <c r="K30" s="8"/>
      <c r="L30" s="7"/>
      <c r="M30" s="7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30" x14ac:dyDescent="0.25">
      <c r="A31" s="5" t="s">
        <v>32</v>
      </c>
      <c r="B31" s="14">
        <v>22</v>
      </c>
      <c r="C31" s="14">
        <v>22</v>
      </c>
      <c r="D31" s="13"/>
      <c r="E31" s="14">
        <v>1.4</v>
      </c>
      <c r="F31" s="14">
        <v>1.4</v>
      </c>
      <c r="G31" s="13"/>
      <c r="H31" s="16">
        <v>36</v>
      </c>
      <c r="K31" s="8"/>
      <c r="L31" s="7"/>
      <c r="M31" s="7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30" x14ac:dyDescent="0.25">
      <c r="A32" s="5" t="s">
        <v>33</v>
      </c>
      <c r="B32" s="14">
        <v>25</v>
      </c>
      <c r="C32" s="13"/>
      <c r="D32" s="13"/>
      <c r="E32" s="14">
        <v>1.5</v>
      </c>
      <c r="F32" s="13"/>
      <c r="G32" s="13"/>
      <c r="H32" s="16">
        <v>37</v>
      </c>
      <c r="K32" s="8"/>
      <c r="L32" s="7"/>
      <c r="M32" s="7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25">
      <c r="A33" s="5" t="s">
        <v>34</v>
      </c>
      <c r="B33" s="14">
        <v>27.5</v>
      </c>
      <c r="C33" s="13"/>
      <c r="D33" s="13"/>
      <c r="E33" s="14">
        <v>1.6</v>
      </c>
      <c r="F33" s="13"/>
      <c r="G33" s="13"/>
      <c r="H33" s="16">
        <v>38</v>
      </c>
      <c r="K33" s="8"/>
      <c r="L33" s="7"/>
      <c r="M33" s="7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25">
      <c r="A34" s="5" t="s">
        <v>35</v>
      </c>
      <c r="B34" s="14">
        <v>30</v>
      </c>
      <c r="C34" s="13"/>
      <c r="D34" s="13"/>
      <c r="E34" s="14">
        <v>1.7</v>
      </c>
      <c r="F34" s="13"/>
      <c r="G34" s="13"/>
      <c r="H34" s="16">
        <v>39</v>
      </c>
      <c r="K34" s="8"/>
      <c r="L34" s="7"/>
      <c r="M34" s="7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</row>
    <row r="35" spans="1:29" x14ac:dyDescent="0.25">
      <c r="A35" s="5" t="s">
        <v>36</v>
      </c>
      <c r="B35" s="14">
        <v>33</v>
      </c>
      <c r="C35" s="13"/>
      <c r="D35" s="13"/>
      <c r="E35" s="14">
        <v>1.8</v>
      </c>
      <c r="F35" s="13"/>
      <c r="G35" s="13"/>
      <c r="H35" s="16">
        <v>39.5</v>
      </c>
      <c r="K35" s="8"/>
      <c r="L35" s="7"/>
      <c r="M35" s="7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</row>
    <row r="36" spans="1:29" x14ac:dyDescent="0.25">
      <c r="A36" s="5" t="s">
        <v>37</v>
      </c>
      <c r="B36" s="14">
        <v>37</v>
      </c>
      <c r="C36" s="13"/>
      <c r="D36" s="13"/>
      <c r="E36" s="14">
        <v>1.9</v>
      </c>
      <c r="F36" s="13"/>
      <c r="G36" s="13"/>
      <c r="H36" s="16">
        <v>41</v>
      </c>
      <c r="K36" s="8"/>
      <c r="L36" s="7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29" x14ac:dyDescent="0.25">
      <c r="A37" s="5" t="s">
        <v>38</v>
      </c>
      <c r="B37" s="14">
        <v>41</v>
      </c>
      <c r="C37" s="13"/>
      <c r="D37" s="13"/>
      <c r="E37" s="14">
        <v>2.1</v>
      </c>
      <c r="F37" s="13"/>
      <c r="G37" s="13"/>
      <c r="H37" s="16">
        <v>42</v>
      </c>
      <c r="K37" s="8"/>
      <c r="L37" s="7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</row>
    <row r="38" spans="1:29" x14ac:dyDescent="0.25">
      <c r="A38" s="5" t="s">
        <v>39</v>
      </c>
      <c r="B38" s="14">
        <v>44</v>
      </c>
      <c r="C38" s="13"/>
      <c r="D38" s="13"/>
      <c r="E38" s="14">
        <v>2.15</v>
      </c>
      <c r="F38" s="13"/>
      <c r="G38" s="13"/>
      <c r="H38" s="16">
        <v>42.5</v>
      </c>
      <c r="K38" s="8"/>
      <c r="L38" s="7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</row>
    <row r="39" spans="1:29" x14ac:dyDescent="0.25">
      <c r="A39" s="5" t="s">
        <v>40</v>
      </c>
      <c r="B39" s="14">
        <v>47.5</v>
      </c>
      <c r="C39" s="13"/>
      <c r="D39" s="13"/>
      <c r="E39" s="14">
        <v>2.2000000000000002</v>
      </c>
      <c r="F39" s="13"/>
      <c r="G39" s="13"/>
      <c r="H39" s="16">
        <v>43</v>
      </c>
      <c r="K39" s="8"/>
      <c r="L39" s="7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</row>
    <row r="40" spans="1:29" x14ac:dyDescent="0.25">
      <c r="K40" s="8"/>
      <c r="L40" s="7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</row>
    <row r="41" spans="1:29" ht="15.75" thickBot="1" x14ac:dyDescent="0.3">
      <c r="A41" s="155" t="s">
        <v>51</v>
      </c>
      <c r="B41" s="155"/>
      <c r="C41" s="155"/>
      <c r="D41" s="155"/>
      <c r="E41" s="155"/>
      <c r="K41" s="8"/>
      <c r="L41" s="7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</row>
    <row r="42" spans="1:29" x14ac:dyDescent="0.25">
      <c r="A42" s="149" t="s">
        <v>53</v>
      </c>
      <c r="B42" s="147" t="s">
        <v>56</v>
      </c>
      <c r="C42" s="148"/>
      <c r="D42" s="151" t="s">
        <v>55</v>
      </c>
      <c r="E42" s="153" t="s">
        <v>54</v>
      </c>
      <c r="G42" s="8"/>
      <c r="H42" s="8"/>
      <c r="I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</row>
    <row r="43" spans="1:29" ht="15.75" thickBot="1" x14ac:dyDescent="0.3">
      <c r="A43" s="150"/>
      <c r="B43" s="20" t="s">
        <v>57</v>
      </c>
      <c r="C43" s="21" t="s">
        <v>58</v>
      </c>
      <c r="D43" s="152"/>
      <c r="E43" s="154"/>
      <c r="G43" s="8"/>
      <c r="H43" s="41"/>
      <c r="I43" s="8"/>
    </row>
    <row r="44" spans="1:29" ht="15.75" thickBot="1" x14ac:dyDescent="0.3">
      <c r="A44" s="36" t="s">
        <v>67</v>
      </c>
      <c r="B44" s="22">
        <v>2</v>
      </c>
      <c r="C44" s="18">
        <v>8</v>
      </c>
      <c r="D44" s="28">
        <v>230</v>
      </c>
      <c r="E44" s="25">
        <v>350</v>
      </c>
      <c r="G44" s="8"/>
      <c r="H44" s="42"/>
      <c r="I44" s="8"/>
    </row>
    <row r="45" spans="1:29" x14ac:dyDescent="0.25">
      <c r="A45" s="37" t="s">
        <v>59</v>
      </c>
      <c r="B45" s="34">
        <v>2</v>
      </c>
      <c r="C45" s="31">
        <v>20</v>
      </c>
      <c r="D45" s="32">
        <v>240</v>
      </c>
      <c r="E45" s="33">
        <v>360</v>
      </c>
      <c r="G45" s="8"/>
      <c r="H45" s="42"/>
      <c r="I45" s="8"/>
    </row>
    <row r="46" spans="1:29" ht="15.75" thickBot="1" x14ac:dyDescent="0.3">
      <c r="A46" s="38" t="s">
        <v>60</v>
      </c>
      <c r="B46" s="35">
        <v>20</v>
      </c>
      <c r="C46" s="24">
        <v>30</v>
      </c>
      <c r="D46" s="30">
        <v>230</v>
      </c>
      <c r="E46" s="27">
        <v>360</v>
      </c>
      <c r="G46" s="8"/>
      <c r="H46" s="42"/>
      <c r="I46" s="8"/>
    </row>
    <row r="47" spans="1:29" x14ac:dyDescent="0.25">
      <c r="A47" s="37" t="s">
        <v>61</v>
      </c>
      <c r="B47" s="34">
        <v>2</v>
      </c>
      <c r="C47" s="31">
        <v>20</v>
      </c>
      <c r="D47" s="32">
        <v>240</v>
      </c>
      <c r="E47" s="33">
        <v>360</v>
      </c>
      <c r="G47" s="8"/>
      <c r="H47" s="42"/>
      <c r="I47" s="8"/>
    </row>
    <row r="48" spans="1:29" ht="15.75" thickBot="1" x14ac:dyDescent="0.3">
      <c r="A48" s="38" t="s">
        <v>62</v>
      </c>
      <c r="B48" s="35">
        <v>20</v>
      </c>
      <c r="C48" s="24">
        <v>40</v>
      </c>
      <c r="D48" s="30">
        <v>230</v>
      </c>
      <c r="E48" s="27">
        <v>360</v>
      </c>
      <c r="G48" s="8"/>
      <c r="H48" s="42"/>
      <c r="I48" s="8"/>
    </row>
    <row r="49" spans="1:9" x14ac:dyDescent="0.25">
      <c r="A49" s="37" t="s">
        <v>63</v>
      </c>
      <c r="B49" s="34">
        <v>2</v>
      </c>
      <c r="C49" s="31">
        <v>20</v>
      </c>
      <c r="D49" s="32">
        <v>320</v>
      </c>
      <c r="E49" s="33">
        <v>460</v>
      </c>
      <c r="G49" s="8"/>
      <c r="H49" s="42"/>
      <c r="I49" s="8"/>
    </row>
    <row r="50" spans="1:9" x14ac:dyDescent="0.25">
      <c r="A50" s="39" t="s">
        <v>64</v>
      </c>
      <c r="B50" s="19">
        <v>20</v>
      </c>
      <c r="C50" s="23">
        <v>40</v>
      </c>
      <c r="D50" s="29">
        <v>300</v>
      </c>
      <c r="E50" s="26">
        <v>450</v>
      </c>
      <c r="G50" s="8"/>
      <c r="H50" s="42"/>
      <c r="I50" s="8"/>
    </row>
    <row r="51" spans="1:9" x14ac:dyDescent="0.25">
      <c r="A51" s="39" t="s">
        <v>65</v>
      </c>
      <c r="B51" s="19">
        <v>40</v>
      </c>
      <c r="C51" s="23">
        <v>80</v>
      </c>
      <c r="D51" s="29">
        <v>280</v>
      </c>
      <c r="E51" s="26">
        <v>440</v>
      </c>
      <c r="G51" s="8"/>
      <c r="H51" s="42"/>
      <c r="I51" s="8"/>
    </row>
    <row r="52" spans="1:9" ht="15.75" thickBot="1" x14ac:dyDescent="0.3">
      <c r="A52" s="38" t="s">
        <v>66</v>
      </c>
      <c r="B52" s="35">
        <v>80</v>
      </c>
      <c r="C52" s="24">
        <v>100</v>
      </c>
      <c r="D52" s="30">
        <v>260</v>
      </c>
      <c r="E52" s="27">
        <v>420</v>
      </c>
      <c r="G52" s="8"/>
      <c r="H52" s="8"/>
      <c r="I52" s="8"/>
    </row>
    <row r="53" spans="1:9" x14ac:dyDescent="0.25">
      <c r="G53" s="8"/>
      <c r="H53" s="8"/>
      <c r="I53" s="8"/>
    </row>
  </sheetData>
  <mergeCells count="13">
    <mergeCell ref="B42:C42"/>
    <mergeCell ref="A42:A43"/>
    <mergeCell ref="D42:D43"/>
    <mergeCell ref="E42:E43"/>
    <mergeCell ref="A41:E41"/>
    <mergeCell ref="H14:H15"/>
    <mergeCell ref="A2:F2"/>
    <mergeCell ref="A15:A16"/>
    <mergeCell ref="B16:D16"/>
    <mergeCell ref="B15:D15"/>
    <mergeCell ref="B14:G14"/>
    <mergeCell ref="E15:G15"/>
    <mergeCell ref="E16:G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19"/>
  <sheetViews>
    <sheetView workbookViewId="0">
      <selection activeCell="G26" sqref="G26"/>
    </sheetView>
  </sheetViews>
  <sheetFormatPr defaultRowHeight="15" x14ac:dyDescent="0.25"/>
  <sheetData>
    <row r="1" spans="1:5" ht="17.25" x14ac:dyDescent="0.25">
      <c r="A1" s="4" t="s">
        <v>46</v>
      </c>
      <c r="B1" s="4" t="s">
        <v>47</v>
      </c>
      <c r="C1" s="4" t="s">
        <v>48</v>
      </c>
    </row>
    <row r="2" spans="1:5" x14ac:dyDescent="0.25">
      <c r="A2" s="3">
        <v>3</v>
      </c>
      <c r="B2" s="3">
        <v>7.1</v>
      </c>
      <c r="C2" s="3">
        <f>B2/100</f>
        <v>7.0999999999999994E-2</v>
      </c>
      <c r="E2" s="12"/>
    </row>
    <row r="3" spans="1:5" x14ac:dyDescent="0.25">
      <c r="A3" s="3">
        <v>4</v>
      </c>
      <c r="B3" s="3">
        <v>12.6</v>
      </c>
      <c r="C3" s="3">
        <f t="shared" ref="C3:C19" si="0">B3/100</f>
        <v>0.126</v>
      </c>
      <c r="E3" s="12"/>
    </row>
    <row r="4" spans="1:5" x14ac:dyDescent="0.25">
      <c r="A4" s="3">
        <v>5</v>
      </c>
      <c r="B4" s="3">
        <v>19.600000000000001</v>
      </c>
      <c r="C4" s="3">
        <f t="shared" si="0"/>
        <v>0.19600000000000001</v>
      </c>
      <c r="E4" s="12"/>
    </row>
    <row r="5" spans="1:5" x14ac:dyDescent="0.25">
      <c r="A5" s="3">
        <v>6</v>
      </c>
      <c r="B5" s="3">
        <v>28.3</v>
      </c>
      <c r="C5" s="3">
        <f t="shared" si="0"/>
        <v>0.28300000000000003</v>
      </c>
      <c r="E5" s="12"/>
    </row>
    <row r="6" spans="1:5" x14ac:dyDescent="0.25">
      <c r="A6" s="3">
        <v>7</v>
      </c>
      <c r="B6" s="3">
        <v>38.5</v>
      </c>
      <c r="C6" s="3">
        <f t="shared" si="0"/>
        <v>0.38500000000000001</v>
      </c>
      <c r="E6" s="12"/>
    </row>
    <row r="7" spans="1:5" x14ac:dyDescent="0.25">
      <c r="A7" s="3">
        <v>8</v>
      </c>
      <c r="B7" s="3">
        <v>50.3</v>
      </c>
      <c r="C7" s="3">
        <f t="shared" si="0"/>
        <v>0.503</v>
      </c>
      <c r="E7" s="12"/>
    </row>
    <row r="8" spans="1:5" x14ac:dyDescent="0.25">
      <c r="A8" s="3">
        <v>10</v>
      </c>
      <c r="B8" s="3">
        <v>78.5</v>
      </c>
      <c r="C8" s="3">
        <f t="shared" si="0"/>
        <v>0.78500000000000003</v>
      </c>
      <c r="E8" s="12"/>
    </row>
    <row r="9" spans="1:5" x14ac:dyDescent="0.25">
      <c r="A9" s="3">
        <v>12</v>
      </c>
      <c r="B9" s="3">
        <v>113.1</v>
      </c>
      <c r="C9" s="3">
        <f t="shared" si="0"/>
        <v>1.131</v>
      </c>
      <c r="E9" s="12"/>
    </row>
    <row r="10" spans="1:5" x14ac:dyDescent="0.25">
      <c r="A10" s="3">
        <v>14</v>
      </c>
      <c r="B10" s="3">
        <v>153.9</v>
      </c>
      <c r="C10" s="3">
        <f t="shared" si="0"/>
        <v>1.5390000000000001</v>
      </c>
      <c r="E10" s="12"/>
    </row>
    <row r="11" spans="1:5" x14ac:dyDescent="0.25">
      <c r="A11" s="3">
        <v>16</v>
      </c>
      <c r="B11" s="3">
        <v>201.1</v>
      </c>
      <c r="C11" s="3">
        <f t="shared" si="0"/>
        <v>2.0110000000000001</v>
      </c>
      <c r="E11" s="12"/>
    </row>
    <row r="12" spans="1:5" x14ac:dyDescent="0.25">
      <c r="A12" s="3">
        <v>18</v>
      </c>
      <c r="B12" s="3">
        <v>254.5</v>
      </c>
      <c r="C12" s="3">
        <f t="shared" si="0"/>
        <v>2.5449999999999999</v>
      </c>
      <c r="E12" s="12"/>
    </row>
    <row r="13" spans="1:5" x14ac:dyDescent="0.25">
      <c r="A13" s="3">
        <v>20</v>
      </c>
      <c r="B13" s="3">
        <v>314.2</v>
      </c>
      <c r="C13" s="3">
        <f t="shared" si="0"/>
        <v>3.1419999999999999</v>
      </c>
      <c r="E13" s="12"/>
    </row>
    <row r="14" spans="1:5" x14ac:dyDescent="0.25">
      <c r="A14" s="3">
        <v>22</v>
      </c>
      <c r="B14" s="3">
        <v>380.1</v>
      </c>
      <c r="C14" s="3">
        <f t="shared" si="0"/>
        <v>3.8010000000000002</v>
      </c>
      <c r="E14" s="12"/>
    </row>
    <row r="15" spans="1:5" x14ac:dyDescent="0.25">
      <c r="A15" s="3">
        <v>25</v>
      </c>
      <c r="B15" s="3">
        <v>490.9</v>
      </c>
      <c r="C15" s="3">
        <f t="shared" si="0"/>
        <v>4.9089999999999998</v>
      </c>
      <c r="E15" s="12"/>
    </row>
    <row r="16" spans="1:5" x14ac:dyDescent="0.25">
      <c r="A16" s="3">
        <v>28</v>
      </c>
      <c r="B16" s="3">
        <v>615.79999999999995</v>
      </c>
      <c r="C16" s="3">
        <f t="shared" si="0"/>
        <v>6.1579999999999995</v>
      </c>
      <c r="E16" s="12"/>
    </row>
    <row r="17" spans="1:5" x14ac:dyDescent="0.25">
      <c r="A17" s="3">
        <v>32</v>
      </c>
      <c r="B17" s="3">
        <v>804.3</v>
      </c>
      <c r="C17" s="3">
        <f t="shared" si="0"/>
        <v>8.0429999999999993</v>
      </c>
      <c r="E17" s="12"/>
    </row>
    <row r="18" spans="1:5" x14ac:dyDescent="0.25">
      <c r="A18" s="3">
        <v>36</v>
      </c>
      <c r="B18" s="3">
        <v>1017.9</v>
      </c>
      <c r="C18" s="3">
        <f t="shared" si="0"/>
        <v>10.179</v>
      </c>
      <c r="E18" s="12"/>
    </row>
    <row r="19" spans="1:5" x14ac:dyDescent="0.25">
      <c r="A19" s="3">
        <v>40</v>
      </c>
      <c r="B19" s="3">
        <v>1256.5999999999999</v>
      </c>
      <c r="C19" s="3">
        <f t="shared" si="0"/>
        <v>12.565999999999999</v>
      </c>
      <c r="E19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Charts</vt:lpstr>
      <vt:lpstr>Factored parameters</vt:lpstr>
      <vt:lpstr>Assortment</vt:lpstr>
      <vt:lpstr>Charts!Область_печати</vt:lpstr>
    </vt:vector>
  </TitlesOfParts>
  <Company>ОАО НИИК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Жегалин Владислав Вадимович</dc:creator>
  <cp:lastModifiedBy>Зарубин Алексей Николаевич</cp:lastModifiedBy>
  <dcterms:created xsi:type="dcterms:W3CDTF">2017-11-08T11:17:10Z</dcterms:created>
  <dcterms:modified xsi:type="dcterms:W3CDTF">2018-02-02T10:13:56Z</dcterms:modified>
</cp:coreProperties>
</file>